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IG3\Documents\GITHUB REPOS\Main\Project 4 Persistent DFC Comps FFA\"/>
    </mc:Choice>
  </mc:AlternateContent>
  <xr:revisionPtr revIDLastSave="0" documentId="13_ncr:1_{70E3E4FC-C082-452B-AB78-5E4640F2685F}" xr6:coauthVersionLast="47" xr6:coauthVersionMax="47" xr10:uidLastSave="{00000000-0000-0000-0000-000000000000}"/>
  <bookViews>
    <workbookView xWindow="-108" yWindow="-108" windowWidth="23256" windowHeight="12456" tabRatio="500" firstSheet="5" activeTab="5" xr2:uid="{00000000-000D-0000-FFFF-FFFF00000000}"/>
  </bookViews>
  <sheets>
    <sheet name="DCF" sheetId="1" r:id="rId1"/>
    <sheet name="WACC" sheetId="2" r:id="rId2"/>
    <sheet name="Rm" sheetId="3" r:id="rId3"/>
    <sheet name="Intrisic Growth" sheetId="4" r:id="rId4"/>
    <sheet name="Relative Comps Valuation" sheetId="5" r:id="rId5"/>
    <sheet name="Football Field Analysis" sheetId="6" r:id="rId6"/>
    <sheet name="Raw Beta Peers" sheetId="7" r:id="rId7"/>
    <sheet name="Raw FS" sheetId="8" r:id="rId8"/>
    <sheet name="Raw comps data" sheetId="9" r:id="rId9"/>
    <sheet name="Data Sheet" sheetId="10" r:id="rId10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"01/26/2023 09:21:20"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Sheet'!$E$1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76" i="10" l="1"/>
  <c r="J76" i="10"/>
  <c r="I76" i="10"/>
  <c r="H76" i="10"/>
  <c r="G76" i="10"/>
  <c r="F76" i="10"/>
  <c r="E76" i="10"/>
  <c r="D76" i="10"/>
  <c r="C76" i="10"/>
  <c r="B76" i="10"/>
  <c r="K74" i="10"/>
  <c r="J74" i="10"/>
  <c r="I74" i="10"/>
  <c r="H74" i="10"/>
  <c r="G74" i="10"/>
  <c r="F74" i="10"/>
  <c r="E74" i="10"/>
  <c r="D74" i="10"/>
  <c r="C74" i="10"/>
  <c r="B74" i="10"/>
  <c r="K51" i="10"/>
  <c r="J51" i="10"/>
  <c r="I51" i="10"/>
  <c r="H51" i="10"/>
  <c r="G51" i="10"/>
  <c r="F51" i="10"/>
  <c r="E51" i="10"/>
  <c r="D51" i="10"/>
  <c r="C51" i="10"/>
  <c r="B51" i="10"/>
  <c r="K34" i="10"/>
  <c r="J34" i="10"/>
  <c r="I34" i="10"/>
  <c r="H34" i="10"/>
  <c r="G34" i="10"/>
  <c r="F34" i="10"/>
  <c r="E34" i="10"/>
  <c r="D34" i="10"/>
  <c r="C34" i="10"/>
  <c r="B34" i="10"/>
  <c r="K32" i="10"/>
  <c r="J32" i="10"/>
  <c r="I32" i="10"/>
  <c r="H32" i="10"/>
  <c r="G32" i="10"/>
  <c r="F32" i="10"/>
  <c r="E32" i="10"/>
  <c r="D32" i="10"/>
  <c r="C32" i="10"/>
  <c r="B32" i="10"/>
  <c r="K15" i="10"/>
  <c r="B15" i="10"/>
  <c r="B6" i="10"/>
  <c r="E1" i="10"/>
  <c r="L31" i="9"/>
  <c r="I31" i="9"/>
  <c r="F31" i="9"/>
  <c r="J31" i="9" s="1"/>
  <c r="L30" i="9"/>
  <c r="I30" i="9"/>
  <c r="F30" i="9"/>
  <c r="J30" i="9" s="1"/>
  <c r="L29" i="9"/>
  <c r="I29" i="9"/>
  <c r="F29" i="9"/>
  <c r="J29" i="9" s="1"/>
  <c r="L28" i="9"/>
  <c r="I28" i="9"/>
  <c r="F28" i="9"/>
  <c r="J28" i="9" s="1"/>
  <c r="L27" i="9"/>
  <c r="I27" i="9"/>
  <c r="F27" i="9"/>
  <c r="J27" i="9" s="1"/>
  <c r="L26" i="9"/>
  <c r="I26" i="9"/>
  <c r="F26" i="9"/>
  <c r="J26" i="9" s="1"/>
  <c r="L25" i="9"/>
  <c r="I25" i="9"/>
  <c r="F25" i="9"/>
  <c r="J25" i="9" s="1"/>
  <c r="L24" i="9"/>
  <c r="I24" i="9"/>
  <c r="F24" i="9"/>
  <c r="J24" i="9" s="1"/>
  <c r="L23" i="9"/>
  <c r="I23" i="9"/>
  <c r="F23" i="9"/>
  <c r="J23" i="9" s="1"/>
  <c r="L22" i="9"/>
  <c r="I22" i="9"/>
  <c r="F22" i="9"/>
  <c r="J22" i="9" s="1"/>
  <c r="L21" i="9"/>
  <c r="I21" i="9"/>
  <c r="F21" i="9"/>
  <c r="J21" i="9" s="1"/>
  <c r="L20" i="9"/>
  <c r="I20" i="9"/>
  <c r="F20" i="9"/>
  <c r="J20" i="9" s="1"/>
  <c r="L19" i="9"/>
  <c r="I19" i="9"/>
  <c r="F19" i="9"/>
  <c r="J19" i="9" s="1"/>
  <c r="L18" i="9"/>
  <c r="I18" i="9"/>
  <c r="F18" i="9"/>
  <c r="J18" i="9" s="1"/>
  <c r="L17" i="9"/>
  <c r="I17" i="9"/>
  <c r="F17" i="9"/>
  <c r="J17" i="9" s="1"/>
  <c r="G16" i="5" s="1"/>
  <c r="L16" i="9"/>
  <c r="I16" i="9"/>
  <c r="F16" i="9"/>
  <c r="J16" i="9" s="1"/>
  <c r="G15" i="5" s="1"/>
  <c r="L15" i="9"/>
  <c r="I15" i="9"/>
  <c r="F15" i="9"/>
  <c r="J15" i="9" s="1"/>
  <c r="G14" i="5" s="1"/>
  <c r="L14" i="9"/>
  <c r="I14" i="9"/>
  <c r="F14" i="9"/>
  <c r="J14" i="9" s="1"/>
  <c r="G13" i="5" s="1"/>
  <c r="L13" i="9"/>
  <c r="I13" i="9"/>
  <c r="F13" i="9"/>
  <c r="J13" i="9" s="1"/>
  <c r="G12" i="5" s="1"/>
  <c r="L12" i="9"/>
  <c r="I12" i="9"/>
  <c r="F12" i="9"/>
  <c r="J12" i="9" s="1"/>
  <c r="G11" i="5" s="1"/>
  <c r="L11" i="9"/>
  <c r="I11" i="9"/>
  <c r="F11" i="9"/>
  <c r="J11" i="9" s="1"/>
  <c r="G10" i="5" s="1"/>
  <c r="L10" i="9"/>
  <c r="I10" i="9"/>
  <c r="F10" i="9"/>
  <c r="J10" i="9" s="1"/>
  <c r="G9" i="5" s="1"/>
  <c r="L9" i="9"/>
  <c r="I9" i="9"/>
  <c r="F9" i="9"/>
  <c r="J9" i="9" s="1"/>
  <c r="G7" i="5" s="1"/>
  <c r="L8" i="9"/>
  <c r="I8" i="9"/>
  <c r="F8" i="9"/>
  <c r="J8" i="9" s="1"/>
  <c r="G8" i="5" s="1"/>
  <c r="L7" i="9"/>
  <c r="I7" i="9"/>
  <c r="F7" i="9"/>
  <c r="J7" i="9" s="1"/>
  <c r="L6" i="9"/>
  <c r="I6" i="9"/>
  <c r="F6" i="9"/>
  <c r="J6" i="9" s="1"/>
  <c r="L5" i="9"/>
  <c r="I5" i="9"/>
  <c r="F5" i="9"/>
  <c r="J5" i="9" s="1"/>
  <c r="L4" i="9"/>
  <c r="I4" i="9"/>
  <c r="F4" i="9"/>
  <c r="J4" i="9" s="1"/>
  <c r="L3" i="9"/>
  <c r="I3" i="9"/>
  <c r="F3" i="9"/>
  <c r="J3" i="9" s="1"/>
  <c r="L2" i="9"/>
  <c r="I2" i="9"/>
  <c r="F2" i="9"/>
  <c r="J2" i="9" s="1"/>
  <c r="N63" i="8"/>
  <c r="M63" i="8"/>
  <c r="L63" i="8"/>
  <c r="K63" i="8"/>
  <c r="J63" i="8"/>
  <c r="I63" i="8"/>
  <c r="H63" i="8"/>
  <c r="G63" i="8"/>
  <c r="F63" i="8"/>
  <c r="E63" i="8"/>
  <c r="D63" i="8"/>
  <c r="C63" i="8"/>
  <c r="N53" i="8"/>
  <c r="M53" i="8"/>
  <c r="L53" i="8"/>
  <c r="K53" i="8"/>
  <c r="J53" i="8"/>
  <c r="I53" i="8"/>
  <c r="H53" i="8"/>
  <c r="G53" i="8"/>
  <c r="F53" i="8"/>
  <c r="E53" i="8"/>
  <c r="D53" i="8"/>
  <c r="C53" i="8"/>
  <c r="N50" i="8"/>
  <c r="M50" i="8"/>
  <c r="L50" i="8"/>
  <c r="K50" i="8"/>
  <c r="J50" i="8"/>
  <c r="I50" i="8"/>
  <c r="H50" i="8"/>
  <c r="G50" i="8"/>
  <c r="F50" i="8"/>
  <c r="E50" i="8"/>
  <c r="D50" i="8"/>
  <c r="C50" i="8"/>
  <c r="N44" i="8"/>
  <c r="M44" i="8"/>
  <c r="L44" i="8"/>
  <c r="K44" i="8"/>
  <c r="J44" i="8"/>
  <c r="I44" i="8"/>
  <c r="H44" i="8"/>
  <c r="G44" i="8"/>
  <c r="F44" i="8"/>
  <c r="E44" i="8"/>
  <c r="D44" i="8"/>
  <c r="C44" i="8"/>
  <c r="N34" i="8"/>
  <c r="M34" i="8"/>
  <c r="L34" i="8"/>
  <c r="K34" i="8"/>
  <c r="J34" i="8"/>
  <c r="I34" i="8"/>
  <c r="H34" i="8"/>
  <c r="G34" i="8"/>
  <c r="F34" i="8"/>
  <c r="E34" i="8"/>
  <c r="D34" i="8"/>
  <c r="C34" i="8"/>
  <c r="N27" i="8"/>
  <c r="M27" i="8"/>
  <c r="L27" i="8"/>
  <c r="K27" i="8"/>
  <c r="J27" i="8"/>
  <c r="I27" i="8"/>
  <c r="H27" i="8"/>
  <c r="G27" i="8"/>
  <c r="F27" i="8"/>
  <c r="E27" i="8"/>
  <c r="D27" i="8"/>
  <c r="C27" i="8"/>
  <c r="N18" i="8"/>
  <c r="N40" i="8" s="1"/>
  <c r="M18" i="8"/>
  <c r="M40" i="8" s="1"/>
  <c r="L18" i="8"/>
  <c r="L40" i="8" s="1"/>
  <c r="K18" i="8"/>
  <c r="K40" i="8" s="1"/>
  <c r="J18" i="8"/>
  <c r="J40" i="8" s="1"/>
  <c r="I18" i="8"/>
  <c r="I40" i="8" s="1"/>
  <c r="H18" i="8"/>
  <c r="H40" i="8" s="1"/>
  <c r="G18" i="8"/>
  <c r="G40" i="8" s="1"/>
  <c r="F18" i="8"/>
  <c r="F40" i="8" s="1"/>
  <c r="E18" i="8"/>
  <c r="E40" i="8" s="1"/>
  <c r="D18" i="8"/>
  <c r="D40" i="8" s="1"/>
  <c r="C18" i="8"/>
  <c r="C40" i="8" s="1"/>
  <c r="N11" i="8"/>
  <c r="M11" i="8"/>
  <c r="L11" i="8"/>
  <c r="K11" i="8"/>
  <c r="J11" i="8"/>
  <c r="I11" i="8"/>
  <c r="H11" i="8"/>
  <c r="G11" i="8"/>
  <c r="F11" i="8"/>
  <c r="E11" i="8"/>
  <c r="D11" i="8"/>
  <c r="C11" i="8"/>
  <c r="N6" i="8"/>
  <c r="N16" i="8" s="1"/>
  <c r="M6" i="8"/>
  <c r="M16" i="8" s="1"/>
  <c r="L6" i="8"/>
  <c r="L16" i="8" s="1"/>
  <c r="K6" i="8"/>
  <c r="K16" i="8" s="1"/>
  <c r="J6" i="8"/>
  <c r="J16" i="8" s="1"/>
  <c r="I6" i="8"/>
  <c r="I16" i="8" s="1"/>
  <c r="H6" i="8"/>
  <c r="H16" i="8" s="1"/>
  <c r="G6" i="8"/>
  <c r="G16" i="8" s="1"/>
  <c r="F6" i="8"/>
  <c r="F16" i="8" s="1"/>
  <c r="E6" i="8"/>
  <c r="E16" i="8" s="1"/>
  <c r="D6" i="8"/>
  <c r="D16" i="8" s="1"/>
  <c r="C6" i="8"/>
  <c r="C16" i="8" s="1"/>
  <c r="O8" i="6"/>
  <c r="M8" i="6"/>
  <c r="K54" i="4"/>
  <c r="J54" i="4"/>
  <c r="I54" i="4"/>
  <c r="H54" i="4"/>
  <c r="G54" i="4"/>
  <c r="F54" i="4"/>
  <c r="K40" i="4"/>
  <c r="J40" i="4"/>
  <c r="I40" i="4"/>
  <c r="H40" i="4"/>
  <c r="G40" i="4"/>
  <c r="F40" i="4"/>
  <c r="K38" i="4"/>
  <c r="J38" i="4"/>
  <c r="I38" i="4"/>
  <c r="H38" i="4"/>
  <c r="G38" i="4"/>
  <c r="F38" i="4"/>
  <c r="K33" i="4"/>
  <c r="J33" i="4"/>
  <c r="I33" i="4"/>
  <c r="H33" i="4"/>
  <c r="G33" i="4"/>
  <c r="F33" i="4"/>
  <c r="K29" i="4"/>
  <c r="J29" i="4"/>
  <c r="I29" i="4"/>
  <c r="H29" i="4"/>
  <c r="G29" i="4"/>
  <c r="F29" i="4"/>
  <c r="K26" i="4"/>
  <c r="J26" i="4"/>
  <c r="I26" i="4"/>
  <c r="H26" i="4"/>
  <c r="G26" i="4"/>
  <c r="F26" i="4"/>
  <c r="B26" i="4"/>
  <c r="K25" i="4"/>
  <c r="J25" i="4"/>
  <c r="I25" i="4"/>
  <c r="H25" i="4"/>
  <c r="G25" i="4"/>
  <c r="F25" i="4"/>
  <c r="B25" i="4"/>
  <c r="K24" i="4"/>
  <c r="J24" i="4"/>
  <c r="I24" i="4"/>
  <c r="H24" i="4"/>
  <c r="G24" i="4"/>
  <c r="F24" i="4"/>
  <c r="B24" i="4"/>
  <c r="K23" i="4"/>
  <c r="J23" i="4"/>
  <c r="I23" i="4"/>
  <c r="H23" i="4"/>
  <c r="G23" i="4"/>
  <c r="F23" i="4"/>
  <c r="B23" i="4"/>
  <c r="K22" i="4"/>
  <c r="J22" i="4"/>
  <c r="I22" i="4"/>
  <c r="H22" i="4"/>
  <c r="G22" i="4"/>
  <c r="F22" i="4"/>
  <c r="B22" i="4"/>
  <c r="K21" i="4"/>
  <c r="K28" i="4" s="1"/>
  <c r="K30" i="4" s="1"/>
  <c r="J21" i="4"/>
  <c r="J28" i="4" s="1"/>
  <c r="J30" i="4" s="1"/>
  <c r="I21" i="4"/>
  <c r="I28" i="4" s="1"/>
  <c r="I30" i="4" s="1"/>
  <c r="H21" i="4"/>
  <c r="H28" i="4" s="1"/>
  <c r="H30" i="4" s="1"/>
  <c r="G21" i="4"/>
  <c r="G28" i="4" s="1"/>
  <c r="G30" i="4" s="1"/>
  <c r="F21" i="4"/>
  <c r="F28" i="4" s="1"/>
  <c r="F30" i="4" s="1"/>
  <c r="B21" i="4"/>
  <c r="K20" i="4"/>
  <c r="J20" i="4"/>
  <c r="I20" i="4"/>
  <c r="H20" i="4"/>
  <c r="G20" i="4"/>
  <c r="F20" i="4"/>
  <c r="B20" i="4"/>
  <c r="K19" i="4"/>
  <c r="J19" i="4"/>
  <c r="I19" i="4"/>
  <c r="H19" i="4"/>
  <c r="G19" i="4"/>
  <c r="F19" i="4"/>
  <c r="B19" i="4"/>
  <c r="K13" i="4"/>
  <c r="J13" i="4"/>
  <c r="I13" i="4"/>
  <c r="H13" i="4"/>
  <c r="G13" i="4"/>
  <c r="F13" i="4"/>
  <c r="B13" i="4"/>
  <c r="K12" i="4"/>
  <c r="J12" i="4"/>
  <c r="I12" i="4"/>
  <c r="H12" i="4"/>
  <c r="G12" i="4"/>
  <c r="F12" i="4"/>
  <c r="B12" i="4"/>
  <c r="K11" i="4"/>
  <c r="K14" i="4" s="1"/>
  <c r="J11" i="4"/>
  <c r="J14" i="4" s="1"/>
  <c r="I11" i="4"/>
  <c r="I14" i="4" s="1"/>
  <c r="H11" i="4"/>
  <c r="H14" i="4" s="1"/>
  <c r="G11" i="4"/>
  <c r="G14" i="4" s="1"/>
  <c r="F11" i="4"/>
  <c r="F14" i="4" s="1"/>
  <c r="B11" i="4"/>
  <c r="K7" i="4"/>
  <c r="J7" i="4"/>
  <c r="I7" i="4"/>
  <c r="H7" i="4"/>
  <c r="G7" i="4"/>
  <c r="F7" i="4"/>
  <c r="B7" i="4"/>
  <c r="K6" i="4"/>
  <c r="J6" i="4"/>
  <c r="I6" i="4"/>
  <c r="H6" i="4"/>
  <c r="G6" i="4"/>
  <c r="F6" i="4"/>
  <c r="B6" i="4"/>
  <c r="K5" i="4"/>
  <c r="J5" i="4"/>
  <c r="I5" i="4"/>
  <c r="H5" i="4"/>
  <c r="G5" i="4"/>
  <c r="F5" i="4"/>
  <c r="B5" i="4"/>
  <c r="K4" i="4"/>
  <c r="K8" i="4" s="1"/>
  <c r="K16" i="4" s="1"/>
  <c r="J4" i="4"/>
  <c r="J8" i="4" s="1"/>
  <c r="J16" i="4" s="1"/>
  <c r="I4" i="4"/>
  <c r="I8" i="4" s="1"/>
  <c r="I16" i="4" s="1"/>
  <c r="H4" i="4"/>
  <c r="H8" i="4" s="1"/>
  <c r="H16" i="4" s="1"/>
  <c r="G4" i="4"/>
  <c r="G8" i="4" s="1"/>
  <c r="G16" i="4" s="1"/>
  <c r="F4" i="4"/>
  <c r="F8" i="4" s="1"/>
  <c r="F16" i="4" s="1"/>
  <c r="F41" i="4" s="1"/>
  <c r="B4" i="4"/>
  <c r="K2" i="4"/>
  <c r="J2" i="4"/>
  <c r="I2" i="4"/>
  <c r="H2" i="4"/>
  <c r="G2" i="4"/>
  <c r="F2" i="4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G5" i="3" s="1"/>
  <c r="G7" i="3" s="1"/>
  <c r="J18" i="2" s="1"/>
  <c r="J32" i="2"/>
  <c r="F14" i="2"/>
  <c r="E18" i="2" s="1"/>
  <c r="F13" i="2"/>
  <c r="I11" i="2"/>
  <c r="E11" i="2"/>
  <c r="D11" i="2"/>
  <c r="B11" i="2"/>
  <c r="I10" i="2"/>
  <c r="E10" i="2"/>
  <c r="D10" i="2"/>
  <c r="B10" i="2"/>
  <c r="I9" i="2"/>
  <c r="E9" i="2"/>
  <c r="C25" i="2" s="1"/>
  <c r="D9" i="2"/>
  <c r="B9" i="2"/>
  <c r="I8" i="2"/>
  <c r="E8" i="2"/>
  <c r="D8" i="2"/>
  <c r="B8" i="2"/>
  <c r="I7" i="2"/>
  <c r="E7" i="2"/>
  <c r="D7" i="2"/>
  <c r="B7" i="2"/>
  <c r="C36" i="1"/>
  <c r="C33" i="1"/>
  <c r="C31" i="1"/>
  <c r="C30" i="1"/>
  <c r="E21" i="1"/>
  <c r="E22" i="1" s="1"/>
  <c r="E23" i="1" s="1"/>
  <c r="C21" i="1"/>
  <c r="E20" i="1"/>
  <c r="E19" i="1"/>
  <c r="E9" i="1"/>
  <c r="F9" i="1" s="1"/>
  <c r="G9" i="1" s="1"/>
  <c r="H9" i="1" s="1"/>
  <c r="D5" i="1"/>
  <c r="E5" i="1" s="1"/>
  <c r="F5" i="1" s="1"/>
  <c r="G5" i="1" s="1"/>
  <c r="H5" i="1" s="1"/>
  <c r="C4" i="1"/>
  <c r="C2" i="1"/>
  <c r="D2" i="1" s="1"/>
  <c r="E2" i="1" s="1"/>
  <c r="F2" i="1" s="1"/>
  <c r="G2" i="1" s="1"/>
  <c r="H2" i="1" s="1"/>
  <c r="K16" i="5"/>
  <c r="J16" i="5"/>
  <c r="I16" i="5"/>
  <c r="F16" i="5"/>
  <c r="E16" i="5"/>
  <c r="O16" i="5" s="1"/>
  <c r="D16" i="5"/>
  <c r="C16" i="5"/>
  <c r="B16" i="5"/>
  <c r="K15" i="5"/>
  <c r="J15" i="5"/>
  <c r="I15" i="5"/>
  <c r="F15" i="5"/>
  <c r="E15" i="5"/>
  <c r="O15" i="5" s="1"/>
  <c r="D15" i="5"/>
  <c r="C15" i="5"/>
  <c r="B15" i="5"/>
  <c r="K14" i="5"/>
  <c r="J14" i="5"/>
  <c r="I14" i="5"/>
  <c r="F14" i="5"/>
  <c r="E14" i="5"/>
  <c r="O14" i="5" s="1"/>
  <c r="D14" i="5"/>
  <c r="C14" i="5"/>
  <c r="B14" i="5"/>
  <c r="K13" i="5"/>
  <c r="J13" i="5"/>
  <c r="I13" i="5"/>
  <c r="F13" i="5"/>
  <c r="E13" i="5"/>
  <c r="O13" i="5" s="1"/>
  <c r="D13" i="5"/>
  <c r="C13" i="5"/>
  <c r="B13" i="5"/>
  <c r="K12" i="5"/>
  <c r="J12" i="5"/>
  <c r="I12" i="5"/>
  <c r="F12" i="5"/>
  <c r="E12" i="5"/>
  <c r="O12" i="5" s="1"/>
  <c r="D12" i="5"/>
  <c r="C12" i="5"/>
  <c r="B12" i="5"/>
  <c r="K11" i="5"/>
  <c r="J11" i="5"/>
  <c r="I11" i="5"/>
  <c r="F11" i="5"/>
  <c r="E11" i="5"/>
  <c r="O11" i="5" s="1"/>
  <c r="D11" i="5"/>
  <c r="C11" i="5"/>
  <c r="B11" i="5"/>
  <c r="K10" i="5"/>
  <c r="J10" i="5"/>
  <c r="I10" i="5"/>
  <c r="F10" i="5"/>
  <c r="E10" i="5"/>
  <c r="O10" i="5" s="1"/>
  <c r="D10" i="5"/>
  <c r="C10" i="5"/>
  <c r="B10" i="5"/>
  <c r="K9" i="5"/>
  <c r="J9" i="5"/>
  <c r="I9" i="5"/>
  <c r="F9" i="5"/>
  <c r="E9" i="5"/>
  <c r="O9" i="5" s="1"/>
  <c r="D9" i="5"/>
  <c r="C9" i="5"/>
  <c r="B9" i="5"/>
  <c r="K8" i="5"/>
  <c r="J8" i="5"/>
  <c r="I8" i="5"/>
  <c r="F8" i="5"/>
  <c r="E8" i="5"/>
  <c r="O8" i="5" s="1"/>
  <c r="D8" i="5"/>
  <c r="C8" i="5"/>
  <c r="B8" i="5"/>
  <c r="K7" i="5"/>
  <c r="J7" i="5"/>
  <c r="I7" i="5"/>
  <c r="F7" i="5"/>
  <c r="E7" i="5"/>
  <c r="O7" i="5" s="1"/>
  <c r="D7" i="5"/>
  <c r="C7" i="5"/>
  <c r="B7" i="5"/>
  <c r="M16" i="5" l="1"/>
  <c r="N16" i="5"/>
  <c r="M15" i="5"/>
  <c r="N15" i="5"/>
  <c r="M14" i="5"/>
  <c r="N14" i="5"/>
  <c r="M13" i="5"/>
  <c r="N13" i="5"/>
  <c r="M12" i="5"/>
  <c r="N12" i="5"/>
  <c r="M11" i="5"/>
  <c r="N11" i="5"/>
  <c r="M10" i="5"/>
  <c r="N10" i="5"/>
  <c r="M9" i="5"/>
  <c r="N9" i="5"/>
  <c r="M7" i="5"/>
  <c r="N7" i="5"/>
  <c r="M8" i="5"/>
  <c r="N8" i="5"/>
  <c r="N70" i="8"/>
  <c r="N72" i="8"/>
  <c r="M70" i="8"/>
  <c r="M72" i="8"/>
  <c r="L70" i="8"/>
  <c r="L72" i="8"/>
  <c r="K72" i="8"/>
  <c r="K70" i="8"/>
  <c r="J70" i="8"/>
  <c r="J72" i="8"/>
  <c r="I70" i="8"/>
  <c r="I72" i="8"/>
  <c r="H72" i="8"/>
  <c r="H70" i="8"/>
  <c r="G70" i="8"/>
  <c r="G72" i="8"/>
  <c r="F72" i="8"/>
  <c r="F70" i="8"/>
  <c r="E70" i="8"/>
  <c r="E72" i="8"/>
  <c r="D72" i="8"/>
  <c r="D70" i="8"/>
  <c r="C70" i="8"/>
  <c r="C72" i="8"/>
  <c r="K43" i="4"/>
  <c r="K45" i="4" s="1"/>
  <c r="J43" i="4"/>
  <c r="J45" i="4" s="1"/>
  <c r="I43" i="4"/>
  <c r="I45" i="4" s="1"/>
  <c r="H43" i="4"/>
  <c r="H45" i="4" s="1"/>
  <c r="G43" i="4"/>
  <c r="G45" i="4" s="1"/>
  <c r="F43" i="4"/>
  <c r="F45" i="4" s="1"/>
  <c r="E19" i="2"/>
  <c r="J31" i="2" s="1"/>
  <c r="J25" i="2"/>
  <c r="H11" i="2"/>
  <c r="G11" i="2"/>
  <c r="J11" i="2" s="1"/>
  <c r="G10" i="2"/>
  <c r="J10" i="2" s="1"/>
  <c r="H10" i="2"/>
  <c r="H9" i="2"/>
  <c r="C24" i="2"/>
  <c r="G9" i="2"/>
  <c r="J9" i="2" s="1"/>
  <c r="G8" i="2"/>
  <c r="J8" i="2" s="1"/>
  <c r="H8" i="2"/>
  <c r="I13" i="2"/>
  <c r="I14" i="2"/>
  <c r="H7" i="2"/>
  <c r="G7" i="2"/>
  <c r="J7" i="2" s="1"/>
  <c r="C6" i="1"/>
  <c r="O18" i="5"/>
  <c r="O19" i="5"/>
  <c r="O20" i="5"/>
  <c r="O21" i="5"/>
  <c r="O29" i="5" s="1"/>
  <c r="O22" i="5"/>
  <c r="O23" i="5"/>
  <c r="M28" i="5"/>
  <c r="O28" i="5"/>
  <c r="N28" i="5"/>
  <c r="N30" i="5"/>
  <c r="O30" i="5"/>
  <c r="M30" i="5"/>
  <c r="F47" i="4"/>
  <c r="F49" i="4" s="1"/>
  <c r="F56" i="4" s="1"/>
  <c r="K32" i="4"/>
  <c r="K35" i="4" s="1"/>
  <c r="K57" i="4" s="1"/>
  <c r="K59" i="4" s="1"/>
  <c r="J32" i="4"/>
  <c r="J35" i="4" s="1"/>
  <c r="J57" i="4" s="1"/>
  <c r="J59" i="4" s="1"/>
  <c r="I32" i="4"/>
  <c r="I35" i="4" s="1"/>
  <c r="I57" i="4" s="1"/>
  <c r="I59" i="4" s="1"/>
  <c r="H32" i="4"/>
  <c r="H35" i="4" s="1"/>
  <c r="H57" i="4" s="1"/>
  <c r="H59" i="4" s="1"/>
  <c r="G32" i="4"/>
  <c r="G35" i="4" s="1"/>
  <c r="G57" i="4" s="1"/>
  <c r="F32" i="4"/>
  <c r="F35" i="4" s="1"/>
  <c r="F57" i="4" s="1"/>
  <c r="F59" i="4" s="1"/>
  <c r="K41" i="4"/>
  <c r="K47" i="4" s="1"/>
  <c r="K49" i="4" s="1"/>
  <c r="K56" i="4" s="1"/>
  <c r="J41" i="4"/>
  <c r="J47" i="4" s="1"/>
  <c r="J49" i="4" s="1"/>
  <c r="J56" i="4" s="1"/>
  <c r="I41" i="4"/>
  <c r="I47" i="4" s="1"/>
  <c r="I49" i="4" s="1"/>
  <c r="I56" i="4" s="1"/>
  <c r="H41" i="4"/>
  <c r="H47" i="4" s="1"/>
  <c r="H49" i="4" s="1"/>
  <c r="H56" i="4" s="1"/>
  <c r="G41" i="4"/>
  <c r="G47" i="4" s="1"/>
  <c r="G49" i="4" s="1"/>
  <c r="M18" i="5" l="1"/>
  <c r="M23" i="5"/>
  <c r="M19" i="5"/>
  <c r="M20" i="5"/>
  <c r="M21" i="5"/>
  <c r="M27" i="5" s="1"/>
  <c r="M29" i="5" s="1"/>
  <c r="M31" i="5" s="1"/>
  <c r="M22" i="5"/>
  <c r="N23" i="5"/>
  <c r="N19" i="5"/>
  <c r="N20" i="5"/>
  <c r="N21" i="5"/>
  <c r="N27" i="5" s="1"/>
  <c r="N29" i="5" s="1"/>
  <c r="N31" i="5" s="1"/>
  <c r="N22" i="5"/>
  <c r="N18" i="5"/>
  <c r="C26" i="2"/>
  <c r="D24" i="2" s="1"/>
  <c r="J13" i="2"/>
  <c r="J14" i="2"/>
  <c r="J23" i="2" s="1"/>
  <c r="H13" i="2"/>
  <c r="H14" i="2"/>
  <c r="G13" i="2"/>
  <c r="G14" i="2"/>
  <c r="O31" i="5"/>
  <c r="O32" i="5" s="1"/>
  <c r="O27" i="5"/>
  <c r="G56" i="4"/>
  <c r="G59" i="4" s="1"/>
  <c r="K52" i="4"/>
  <c r="C7" i="1" s="1"/>
  <c r="K51" i="4"/>
  <c r="P4" i="6" l="1"/>
  <c r="O4" i="6" s="1"/>
  <c r="M32" i="5"/>
  <c r="N32" i="5"/>
  <c r="N4" i="6"/>
  <c r="M4" i="6" s="1"/>
  <c r="D25" i="2"/>
  <c r="D28" i="2" s="1"/>
  <c r="D26" i="2"/>
  <c r="E26" i="2" s="1"/>
  <c r="E25" i="2" s="1"/>
  <c r="K62" i="4"/>
  <c r="C13" i="1" s="1"/>
  <c r="K61" i="4"/>
  <c r="C8" i="1"/>
  <c r="D7" i="1"/>
  <c r="E7" i="1" s="1"/>
  <c r="F7" i="1" s="1"/>
  <c r="G7" i="1" s="1"/>
  <c r="H7" i="1" s="1"/>
  <c r="E28" i="2" l="1"/>
  <c r="J24" i="2" s="1"/>
  <c r="J26" i="2" s="1"/>
  <c r="J19" i="2" s="1"/>
  <c r="J20" i="2" s="1"/>
  <c r="J29" i="2" s="1"/>
  <c r="J30" i="2"/>
  <c r="D4" i="1"/>
  <c r="D6" i="1" l="1"/>
  <c r="D8" i="1" s="1"/>
  <c r="E4" i="1"/>
  <c r="J33" i="2"/>
  <c r="C15" i="1" s="1"/>
  <c r="E6" i="1" l="1"/>
  <c r="E8" i="1" s="1"/>
  <c r="F4" i="1"/>
  <c r="G10" i="1"/>
  <c r="E10" i="1"/>
  <c r="D10" i="1"/>
  <c r="D11" i="1" s="1"/>
  <c r="H10" i="1"/>
  <c r="F10" i="1"/>
  <c r="C20" i="1"/>
  <c r="H18" i="1"/>
  <c r="G4" i="1" l="1"/>
  <c r="F6" i="1"/>
  <c r="F8" i="1" s="1"/>
  <c r="F11" i="1" s="1"/>
  <c r="P6" i="6"/>
  <c r="O6" i="6" s="1"/>
  <c r="N6" i="6"/>
  <c r="M6" i="6" s="1"/>
  <c r="I18" i="1"/>
  <c r="G18" i="1"/>
  <c r="E11" i="1"/>
  <c r="H4" i="1" l="1"/>
  <c r="H6" i="1" s="1"/>
  <c r="H8" i="1" s="1"/>
  <c r="G6" i="1"/>
  <c r="G8" i="1" s="1"/>
  <c r="G11" i="1" s="1"/>
  <c r="J18" i="1"/>
  <c r="F18" i="1"/>
  <c r="C19" i="1" l="1"/>
  <c r="C22" i="1" s="1"/>
  <c r="C27" i="1" s="1"/>
  <c r="H11" i="1"/>
  <c r="C26" i="1" s="1"/>
  <c r="C28" i="1" s="1"/>
  <c r="C32" i="1" s="1"/>
  <c r="C35" i="1" s="1"/>
  <c r="P5" i="6"/>
  <c r="O5" i="6" s="1"/>
  <c r="N5" i="6"/>
  <c r="M5" i="6" s="1"/>
  <c r="P7" i="6"/>
  <c r="O7" i="6" s="1"/>
  <c r="N7" i="6"/>
  <c r="M7" i="6" s="1"/>
  <c r="E18" i="1" l="1"/>
  <c r="C37" i="1"/>
</calcChain>
</file>

<file path=xl/sharedStrings.xml><?xml version="1.0" encoding="utf-8"?>
<sst xmlns="http://schemas.openxmlformats.org/spreadsheetml/2006/main" count="360" uniqueCount="289">
  <si>
    <t>#</t>
  </si>
  <si>
    <t>Calculation of PV of FCFF</t>
  </si>
  <si>
    <t>EBIT</t>
  </si>
  <si>
    <t>Tax Rate</t>
  </si>
  <si>
    <t>EBIT (1-T)</t>
  </si>
  <si>
    <t>Less Reinvestment Rate</t>
  </si>
  <si>
    <t>Free Cash Flow to Firm</t>
  </si>
  <si>
    <t>Mid Year Convention</t>
  </si>
  <si>
    <t>Discounting Factor</t>
  </si>
  <si>
    <t>PV of FCFF</t>
  </si>
  <si>
    <t>Expected Growth</t>
  </si>
  <si>
    <t xml:space="preserve"> </t>
  </si>
  <si>
    <t>Terminal Growth</t>
  </si>
  <si>
    <t xml:space="preserve">long term gdp growth rate </t>
  </si>
  <si>
    <t>WACC</t>
  </si>
  <si>
    <t>Calculation of Terminal Value</t>
  </si>
  <si>
    <t>Sensitivity Analysis</t>
  </si>
  <si>
    <t>FCFF (n+1)</t>
  </si>
  <si>
    <t>Terminal Growth Rate</t>
  </si>
  <si>
    <t>Terminal Value</t>
  </si>
  <si>
    <t>Calculation of Equity Value per Share</t>
  </si>
  <si>
    <t>PV of Terminal Value</t>
  </si>
  <si>
    <t xml:space="preserve">Value of Operating Assets </t>
  </si>
  <si>
    <t>Add: Cash</t>
  </si>
  <si>
    <t>Less: Debt</t>
  </si>
  <si>
    <t>Value of Equity</t>
  </si>
  <si>
    <t>No of Shares</t>
  </si>
  <si>
    <t>Equity Value per Share</t>
  </si>
  <si>
    <t>current live Share price</t>
  </si>
  <si>
    <t>Discount/Premium</t>
  </si>
  <si>
    <t>Weighted Average Cost of Capital</t>
  </si>
  <si>
    <t>Peer Companies</t>
  </si>
  <si>
    <t>Debt/</t>
  </si>
  <si>
    <t>Levered</t>
  </si>
  <si>
    <t>Unlevered</t>
  </si>
  <si>
    <t>Name</t>
  </si>
  <si>
    <t>Country</t>
  </si>
  <si>
    <t>Total Debt</t>
  </si>
  <si>
    <t>Total Equity</t>
  </si>
  <si>
    <t xml:space="preserve">Tax Rate </t>
  </si>
  <si>
    <t>Equity</t>
  </si>
  <si>
    <t>Capital</t>
  </si>
  <si>
    <t xml:space="preserve">Beta </t>
  </si>
  <si>
    <t>India</t>
  </si>
  <si>
    <t>Average</t>
  </si>
  <si>
    <t>Median</t>
  </si>
  <si>
    <t>Cost of Debt</t>
  </si>
  <si>
    <t>Cost of Equity</t>
  </si>
  <si>
    <t>Pre-tax Cost of Debt</t>
  </si>
  <si>
    <t>Risk Free Rate</t>
  </si>
  <si>
    <t>Equity Risk Premium</t>
  </si>
  <si>
    <t>After Tax Cost of Debt</t>
  </si>
  <si>
    <t xml:space="preserve">Levered Beta </t>
  </si>
  <si>
    <t>Capital Structure</t>
  </si>
  <si>
    <t>Current</t>
  </si>
  <si>
    <t>Target</t>
  </si>
  <si>
    <t>Comps Median Unlevered Beta</t>
  </si>
  <si>
    <t xml:space="preserve">Target Debt/ Equity  </t>
  </si>
  <si>
    <t>Market Capitalization</t>
  </si>
  <si>
    <t>Total Capitalization</t>
  </si>
  <si>
    <t>Levered Beta</t>
  </si>
  <si>
    <t>Debt / Equity</t>
  </si>
  <si>
    <t>Equity Weight</t>
  </si>
  <si>
    <t>Debt Weight</t>
  </si>
  <si>
    <t>Return on Markets</t>
  </si>
  <si>
    <t>source-primeinvestor</t>
  </si>
  <si>
    <t>Year</t>
  </si>
  <si>
    <t>Annual</t>
  </si>
  <si>
    <t>1+Return</t>
  </si>
  <si>
    <t>Average Return</t>
  </si>
  <si>
    <t>Dividend Yield</t>
  </si>
  <si>
    <t>Total Market Returns</t>
  </si>
  <si>
    <t>Calculation of ROIC</t>
  </si>
  <si>
    <t>Current Assets</t>
  </si>
  <si>
    <t>Total Current Assets</t>
  </si>
  <si>
    <t>Current Liabilities</t>
  </si>
  <si>
    <t>Total Current Liabilities</t>
  </si>
  <si>
    <t>Net Working Capital</t>
  </si>
  <si>
    <t>Non Current Assets</t>
  </si>
  <si>
    <t>Gross Block</t>
  </si>
  <si>
    <t>Accumulated Depreciation</t>
  </si>
  <si>
    <t>Net Non Current Assets</t>
  </si>
  <si>
    <t>Invested Capital</t>
  </si>
  <si>
    <t>ROIC</t>
  </si>
  <si>
    <t>Calculation of Reinvestment Rate</t>
  </si>
  <si>
    <t>Net Capex</t>
  </si>
  <si>
    <t>Change in Working Capital</t>
  </si>
  <si>
    <t>Marginal Tax Rate</t>
  </si>
  <si>
    <t>EBIT(1-T)</t>
  </si>
  <si>
    <t>Reinvestment</t>
  </si>
  <si>
    <t>Reinvestment Rate</t>
  </si>
  <si>
    <t>5 Year Average</t>
  </si>
  <si>
    <t>5 Year Median</t>
  </si>
  <si>
    <t>Calculation of Growth Rate</t>
  </si>
  <si>
    <t>Intrinsic Growth</t>
  </si>
  <si>
    <t xml:space="preserve"> Comparable Company Valuation</t>
  </si>
  <si>
    <t>Market Data</t>
  </si>
  <si>
    <t>Financials</t>
  </si>
  <si>
    <t>Valuation</t>
  </si>
  <si>
    <t xml:space="preserve">Company </t>
  </si>
  <si>
    <t>Share Price</t>
  </si>
  <si>
    <t>Shares O/s</t>
  </si>
  <si>
    <t>Equity Value</t>
  </si>
  <si>
    <t>Net Debt</t>
  </si>
  <si>
    <t>Enterprise Value</t>
  </si>
  <si>
    <t xml:space="preserve">Revenue </t>
  </si>
  <si>
    <t>EBITDA</t>
  </si>
  <si>
    <t>Net Income</t>
  </si>
  <si>
    <t xml:space="preserve">EV/Revenue </t>
  </si>
  <si>
    <t>EV/EBITDA</t>
  </si>
  <si>
    <t>P/E</t>
  </si>
  <si>
    <t xml:space="preserve">High </t>
  </si>
  <si>
    <t>75th Percentile</t>
  </si>
  <si>
    <t>25th Percentile</t>
  </si>
  <si>
    <t>Low</t>
  </si>
  <si>
    <t>Persistent Systems Comparable Valuation</t>
  </si>
  <si>
    <t>EV/Revenue</t>
  </si>
  <si>
    <t xml:space="preserve">Implied Enterprise Value </t>
  </si>
  <si>
    <t xml:space="preserve">Implied Market Value </t>
  </si>
  <si>
    <t xml:space="preserve">Shares Outstanding </t>
  </si>
  <si>
    <t>Implies Value per Share</t>
  </si>
  <si>
    <t>Undervalued/Overvalued</t>
  </si>
  <si>
    <t>Football Field Analysis - Data</t>
  </si>
  <si>
    <t>OpenLow</t>
  </si>
  <si>
    <t>OpenHigh</t>
  </si>
  <si>
    <t>High</t>
  </si>
  <si>
    <t>Comps</t>
  </si>
  <si>
    <t>DCF Bear</t>
  </si>
  <si>
    <t>DCF Base</t>
  </si>
  <si>
    <t>DCF Bull</t>
  </si>
  <si>
    <t>52W H/L</t>
  </si>
  <si>
    <t>Raw data for Beta -&gt; screener &amp; topstock research</t>
  </si>
  <si>
    <t>S.No.</t>
  </si>
  <si>
    <t>CMP Rs.</t>
  </si>
  <si>
    <t xml:space="preserve">Mar Cap Rs.Cr. </t>
  </si>
  <si>
    <t>Debt Rs.Cr.</t>
  </si>
  <si>
    <t>Debt / Eq</t>
  </si>
  <si>
    <t>Weekly - Two Year Range</t>
  </si>
  <si>
    <t>LTM</t>
  </si>
  <si>
    <t>Oracle Fin. Serv.</t>
  </si>
  <si>
    <t>Persistent Systems</t>
  </si>
  <si>
    <t>Coforge</t>
  </si>
  <si>
    <t>Mphasis</t>
  </si>
  <si>
    <t>Bal Sheet Source screener</t>
  </si>
  <si>
    <t>Equity Capital</t>
  </si>
  <si>
    <t>Reserves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</si>
  <si>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</si>
  <si>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</si>
  <si>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</si>
  <si>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</si>
  <si>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</si>
  <si>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</si>
  <si>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</si>
  <si>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</si>
  <si>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</si>
  <si>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</si>
  <si>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Total Liabilities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</si>
  <si>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</si>
  <si>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</si>
  <si>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</si>
  <si>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</si>
  <si>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</si>
  <si>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</si>
  <si>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</si>
  <si>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</si>
  <si>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</si>
  <si>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CWIP</t>
  </si>
  <si>
    <t>Investments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</si>
  <si>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</si>
  <si>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</si>
  <si>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</si>
  <si>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</si>
  <si>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</si>
  <si>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</si>
  <si>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Total Assets</t>
  </si>
  <si>
    <t>Cash Flow Source screener</t>
  </si>
  <si>
    <t>Cash from Operating Activity -</t>
  </si>
  <si>
    <t>Profit from operations</t>
  </si>
  <si>
    <t>Receivables</t>
  </si>
  <si>
    <t>Inventory</t>
  </si>
  <si>
    <t>Payables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</si>
  <si>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</si>
  <si>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</si>
  <si>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</si>
  <si>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</si>
  <si>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</si>
  <si>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</si>
  <si>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</si>
  <si>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</si>
  <si>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</si>
  <si>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</si>
  <si>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</si>
  <si>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</si>
  <si>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Other investing items</t>
  </si>
  <si>
    <t>Cash from Financing Activity -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</si>
  <si>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</si>
  <si>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</si>
  <si>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</si>
  <si>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</si>
  <si>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</si>
  <si>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</si>
  <si>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Net Cash Flow</t>
  </si>
  <si>
    <t>Free Cash Flow</t>
  </si>
  <si>
    <t>CFO/OP</t>
  </si>
  <si>
    <t>No. Eq. Shares Cr.</t>
  </si>
  <si>
    <t>Market Cap</t>
  </si>
  <si>
    <t>Cash End Rs.Cr.</t>
  </si>
  <si>
    <t>EV</t>
  </si>
  <si>
    <t>Sales Rs.Cr.</t>
  </si>
  <si>
    <t>NP 12M Rs.Cr.</t>
  </si>
  <si>
    <t>OPM %</t>
  </si>
  <si>
    <t>TCS</t>
  </si>
  <si>
    <t>Infosys</t>
  </si>
  <si>
    <t>HCL Technologies</t>
  </si>
  <si>
    <t>Wipro</t>
  </si>
  <si>
    <t>Tech Mahindra</t>
  </si>
  <si>
    <t>LTIMindtree</t>
  </si>
  <si>
    <t>Oracle Fin.Serv.</t>
  </si>
  <si>
    <t>Hexaware Tech.</t>
  </si>
  <si>
    <t>Tata Elxsi</t>
  </si>
  <si>
    <t>Firstsource Solutions</t>
  </si>
  <si>
    <t>eClerx Services</t>
  </si>
  <si>
    <t>KPIT Technologies</t>
  </si>
  <si>
    <t>Fractal Analytics</t>
  </si>
  <si>
    <t>Rategain Travel Tech.</t>
  </si>
  <si>
    <t>Zensar Tech.</t>
  </si>
  <si>
    <t>Intellect Design Arena</t>
  </si>
  <si>
    <t>Cyient</t>
  </si>
  <si>
    <t>Sonata Software</t>
  </si>
  <si>
    <t>Birlasoft</t>
  </si>
  <si>
    <t>Newgen Software</t>
  </si>
  <si>
    <t>ASM Technologies</t>
  </si>
  <si>
    <t>Tanla Platforms</t>
  </si>
  <si>
    <t>Happiest Minds Tech.</t>
  </si>
  <si>
    <t>Mastek</t>
  </si>
  <si>
    <t>Latent View Analytics</t>
  </si>
  <si>
    <t>R Systems International</t>
  </si>
  <si>
    <t>Nucleus Software Exports</t>
  </si>
  <si>
    <t>COMPANY NAME</t>
  </si>
  <si>
    <t>PERSISTENT SYSTEMS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</si>
  <si>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</si>
  <si>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</si>
  <si>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</si>
  <si>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</si>
  <si>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</si>
  <si>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</si>
  <si>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</si>
  <si>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</si>
  <si>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</si>
  <si>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</si>
  <si>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</si>
  <si>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</si>
  <si>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</si>
  <si>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</si>
  <si>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</si>
  <si>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</si>
  <si>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</si>
  <si>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</si>
  <si>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</si>
  <si>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</si>
  <si>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</si>
  <si>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</si>
  <si>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</si>
  <si>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</si>
  <si>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</si>
  <si>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Quarters</t>
  </si>
  <si>
    <t>Expenses</t>
  </si>
  <si>
    <t>Operating Profit</t>
  </si>
  <si>
    <t>BALANCE SHEET</t>
  </si>
  <si>
    <t>Equity Share Capital</t>
  </si>
  <si>
    <t>Borrowings</t>
  </si>
  <si>
    <t>Other Liabilities</t>
  </si>
  <si>
    <t>Total</t>
  </si>
  <si>
    <t>Net Block</t>
  </si>
  <si>
    <t>Capital Work in Progress</t>
  </si>
  <si>
    <t>Other Assets</t>
  </si>
  <si>
    <t>Cash &amp; Bank</t>
  </si>
  <si>
    <t>No. of Equity Shares</t>
  </si>
  <si>
    <t>New Bonus Shares</t>
  </si>
  <si>
    <t>Face value</t>
  </si>
  <si>
    <t>Other Asset</t>
  </si>
  <si>
    <t>Total Asset</t>
  </si>
  <si>
    <t>CASH FLOW:</t>
  </si>
  <si>
    <t>Cash from Operating Activity</t>
  </si>
  <si>
    <t>Cash from Investing Activity</t>
  </si>
  <si>
    <t>Cash from Financing Activity</t>
  </si>
  <si>
    <t>PRICE:</t>
  </si>
  <si>
    <t>DERIVED:</t>
  </si>
  <si>
    <t>Adjusted Equity Shares in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</si>
</sst>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\-??_);_(@_)"/>
    <numFmt numFmtId="165" formatCode="mmm/yy\A"/>
    <numFmt numFmtId="166" formatCode="mmm/yy\F"/>
    <numFmt numFmtId="167" formatCode="_ * #,##0.00_ ;_ * \-#,##0.00_ ;_ * \-??_ ;_ @_ "/>
    <numFmt numFmtId="168" formatCode="0.000"/>
    <numFmt numFmtId="169" formatCode="0.00\x"/>
    <numFmt numFmtId="170" formatCode="#,##0.0"/>
    <numFmt numFmtId="171" formatCode="0.0000"/>
    <numFmt numFmtId="172" formatCode="mmm\-yy"/>
    <numFmt numFmtId="173" formatCode="#,##0.0;\(#,##0.0\);\-"/>
    <numFmt numFmtId="174" formatCode="0.000000000000000%"/>
    <numFmt numFmtId="175" formatCode="0.0\x"/>
    <numFmt numFmtId="176" formatCode="0.0%"/>
    <numFmt numFmtId="177" formatCode="[$-409]mmm\-yy;@"/>
  </numFmts>
  <fonts count="28" x14ac:knownFonts="1"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"/>
      <name val="Arial Narrow"/>
      <family val="2"/>
      <charset val="1"/>
    </font>
    <font>
      <b/>
      <sz val="11"/>
      <color theme="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3333FF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/>
      <sz val="14"/>
      <color theme="0"/>
      <name val="calibri"/>
      <family val="2"/>
      <charset val="1"/>
    </font>
    <font>
      <sz val="14"/>
      <color theme="0"/>
      <name val="calibri"/>
      <family val="2"/>
      <charset val="1"/>
    </font>
    <font>
      <i/>
      <sz val="9"/>
      <color theme="1"/>
      <name val="calibri"/>
      <family val="2"/>
      <charset val="1"/>
    </font>
    <font>
      <b/>
      <sz val="11"/>
      <color theme="2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1"/>
      <color rgb="FF00B050"/>
      <name val="calibri"/>
      <family val="2"/>
      <charset val="1"/>
    </font>
    <font>
      <sz val="11"/>
      <name val="calibri"/>
      <family val="2"/>
      <charset val="1"/>
    </font>
    <font>
      <b/>
      <sz val="12"/>
      <color theme="0"/>
      <name val="calibri"/>
      <family val="2"/>
      <charset val="1"/>
    </font>
    <font>
      <b/>
      <sz val="11"/>
      <name val="Cambria"/>
      <family val="1"/>
    </font>
    <font>
      <b/>
      <i/>
      <sz val="11"/>
      <color theme="0"/>
      <name val="calibri"/>
      <family val="2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u/>
      <sz val="10"/>
      <color theme="10"/>
      <name val="Arial"/>
      <family val="2"/>
      <charset val="1"/>
    </font>
    <font>
      <b/>
      <sz val="10"/>
      <color theme="0"/>
      <name val="Arial"/>
      <family val="2"/>
      <charset val="1"/>
    </font>
    <font>
      <sz val="10"/>
      <name val="Arial"/>
      <family val="2"/>
      <charset val="1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/>
        <bgColor rgb="FF808000"/>
      </patternFill>
    </fill>
    <fill>
      <patternFill patternType="solid">
        <fgColor theme="4"/>
        <bgColor rgb="FF657D9D"/>
      </patternFill>
    </fill>
    <fill>
      <patternFill patternType="solid">
        <fgColor theme="0" tint="-4.9989318521683403E-2"/>
        <bgColor rgb="FFEBEEF2"/>
      </patternFill>
    </fill>
    <fill>
      <patternFill patternType="solid">
        <fgColor theme="4" tint="-0.249977111117893"/>
        <bgColor rgb="FF0563C1"/>
      </patternFill>
    </fill>
    <fill>
      <patternFill patternType="solid">
        <fgColor theme="4" tint="0.39988402966399123"/>
        <bgColor rgb="FFA6A6A6"/>
      </patternFill>
    </fill>
    <fill>
      <patternFill patternType="solid">
        <fgColor theme="4" tint="-0.499984740745262"/>
        <bgColor rgb="FF404040"/>
      </patternFill>
    </fill>
    <fill>
      <patternFill patternType="solid">
        <fgColor theme="4" tint="0.79989013336588644"/>
        <bgColor rgb="FFE7E6E6"/>
      </patternFill>
    </fill>
    <fill>
      <patternFill patternType="solid">
        <fgColor theme="4" tint="0.59987182226020086"/>
        <bgColor rgb="FF99CCFF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rgb="FFFFF2A6"/>
        <bgColor rgb="FFF2F2F2"/>
      </patternFill>
    </fill>
    <fill>
      <patternFill patternType="solid">
        <fgColor theme="3" tint="0.89989928891872917"/>
        <bgColor rgb="FFF2F2F2"/>
      </patternFill>
    </fill>
    <fill>
      <patternFill patternType="solid">
        <fgColor rgb="FF002060"/>
        <bgColor rgb="FF203864"/>
      </patternFill>
    </fill>
    <fill>
      <patternFill patternType="solid">
        <fgColor rgb="FF0275D8"/>
        <bgColor rgb="FF0563C1"/>
      </patternFill>
    </fill>
    <fill>
      <patternFill patternType="solid">
        <fgColor theme="7" tint="0.79998168889431442"/>
        <bgColor rgb="FFF2F2F2"/>
      </patternFill>
    </fill>
  </fills>
  <borders count="13">
    <border>
      <left/>
      <right/>
      <top/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/>
      <bottom style="thin">
        <color theme="0"/>
      </bottom>
      <diagonal/>
    </border>
    <border>
      <left/>
      <right/>
      <top style="dashed">
        <color theme="3" tint="0.24988555558946501"/>
      </top>
      <bottom style="dashed">
        <color theme="3" tint="0.2498855555894650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hair">
        <color rgb="FF002060"/>
      </top>
      <bottom/>
      <diagonal/>
    </border>
  </borders>
  <cellStyleXfs count="9">
    <xf numFmtId="0" fontId="0" fillId="0" borderId="0"/>
    <xf numFmtId="164" fontId="7" fillId="0" borderId="0"/>
    <xf numFmtId="9" fontId="7" fillId="0" borderId="0"/>
    <xf numFmtId="0" fontId="1" fillId="2" borderId="0"/>
    <xf numFmtId="164" fontId="7" fillId="0" borderId="0"/>
    <xf numFmtId="0" fontId="2" fillId="0" borderId="0">
      <alignment vertical="top"/>
      <protection locked="0"/>
    </xf>
    <xf numFmtId="0" fontId="3" fillId="0" borderId="0"/>
    <xf numFmtId="0" fontId="7" fillId="0" borderId="0"/>
    <xf numFmtId="9" fontId="7" fillId="0" borderId="0"/>
  </cellStyleXfs>
  <cellXfs count="169">
    <xf numFmtId="0" fontId="0" fillId="0" borderId="0" xfId="0"/>
    <xf numFmtId="0" fontId="4" fillId="3" borderId="0" xfId="0" applyFont="1" applyFill="1"/>
    <xf numFmtId="165" fontId="4" fillId="3" borderId="0" xfId="0" applyNumberFormat="1" applyFont="1" applyFill="1"/>
    <xf numFmtId="166" fontId="4" fillId="3" borderId="0" xfId="0" applyNumberFormat="1" applyFont="1" applyFill="1"/>
    <xf numFmtId="167" fontId="5" fillId="4" borderId="0" xfId="0" applyNumberFormat="1" applyFont="1" applyFill="1"/>
    <xf numFmtId="167" fontId="5" fillId="0" borderId="0" xfId="0" applyNumberFormat="1" applyFont="1"/>
    <xf numFmtId="10" fontId="6" fillId="4" borderId="0" xfId="0" applyNumberFormat="1" applyFont="1" applyFill="1"/>
    <xf numFmtId="10" fontId="6" fillId="0" borderId="0" xfId="0" applyNumberFormat="1" applyFont="1"/>
    <xf numFmtId="167" fontId="0" fillId="4" borderId="0" xfId="0" applyNumberFormat="1" applyFill="1"/>
    <xf numFmtId="167" fontId="0" fillId="0" borderId="0" xfId="0" applyNumberFormat="1"/>
    <xf numFmtId="10" fontId="5" fillId="4" borderId="0" xfId="0" applyNumberFormat="1" applyFont="1" applyFill="1"/>
    <xf numFmtId="10" fontId="5" fillId="0" borderId="0" xfId="2" applyNumberFormat="1" applyFont="1"/>
    <xf numFmtId="0" fontId="8" fillId="0" borderId="1" xfId="0" applyFont="1" applyBorder="1"/>
    <xf numFmtId="167" fontId="8" fillId="4" borderId="1" xfId="0" applyNumberFormat="1" applyFont="1" applyFill="1" applyBorder="1"/>
    <xf numFmtId="167" fontId="8" fillId="0" borderId="1" xfId="0" applyNumberFormat="1" applyFont="1" applyBorder="1"/>
    <xf numFmtId="0" fontId="6" fillId="4" borderId="0" xfId="0" applyFont="1" applyFill="1"/>
    <xf numFmtId="0" fontId="6" fillId="0" borderId="0" xfId="0" applyFont="1"/>
    <xf numFmtId="0" fontId="0" fillId="4" borderId="0" xfId="0" applyFill="1"/>
    <xf numFmtId="168" fontId="0" fillId="0" borderId="0" xfId="0" applyNumberFormat="1"/>
    <xf numFmtId="0" fontId="8" fillId="4" borderId="1" xfId="0" applyFont="1" applyFill="1" applyBorder="1"/>
    <xf numFmtId="0" fontId="8" fillId="0" borderId="0" xfId="0" applyFont="1"/>
    <xf numFmtId="10" fontId="5" fillId="0" borderId="0" xfId="0" applyNumberFormat="1" applyFont="1"/>
    <xf numFmtId="0" fontId="0" fillId="3" borderId="0" xfId="0" applyFill="1"/>
    <xf numFmtId="0" fontId="4" fillId="5" borderId="0" xfId="0" applyFont="1" applyFill="1"/>
    <xf numFmtId="0" fontId="0" fillId="5" borderId="0" xfId="0" applyFill="1"/>
    <xf numFmtId="167" fontId="9" fillId="0" borderId="0" xfId="0" applyNumberFormat="1" applyFont="1"/>
    <xf numFmtId="9" fontId="0" fillId="0" borderId="0" xfId="2" applyFont="1"/>
    <xf numFmtId="3" fontId="0" fillId="0" borderId="0" xfId="0" applyNumberFormat="1"/>
    <xf numFmtId="10" fontId="0" fillId="0" borderId="0" xfId="0" applyNumberFormat="1"/>
    <xf numFmtId="3" fontId="0" fillId="6" borderId="0" xfId="0" applyNumberFormat="1" applyFill="1"/>
    <xf numFmtId="3" fontId="4" fillId="5" borderId="0" xfId="0" applyNumberFormat="1" applyFont="1" applyFill="1"/>
    <xf numFmtId="167" fontId="8" fillId="0" borderId="0" xfId="0" applyNumberFormat="1" applyFont="1"/>
    <xf numFmtId="0" fontId="5" fillId="0" borderId="0" xfId="0" applyFont="1"/>
    <xf numFmtId="4" fontId="0" fillId="0" borderId="0" xfId="0" applyNumberFormat="1"/>
    <xf numFmtId="169" fontId="0" fillId="0" borderId="0" xfId="0" applyNumberFormat="1"/>
    <xf numFmtId="0" fontId="10" fillId="0" borderId="0" xfId="0" applyFont="1"/>
    <xf numFmtId="0" fontId="11" fillId="0" borderId="0" xfId="0" applyFont="1"/>
    <xf numFmtId="0" fontId="9" fillId="0" borderId="0" xfId="0" applyFont="1"/>
    <xf numFmtId="0" fontId="4" fillId="5" borderId="2" xfId="0" applyFont="1" applyFill="1" applyBorder="1"/>
    <xf numFmtId="0" fontId="4" fillId="5" borderId="2" xfId="0" applyFont="1" applyFill="1" applyBorder="1" applyAlignment="1">
      <alignment horizontal="right"/>
    </xf>
    <xf numFmtId="0" fontId="4" fillId="5" borderId="3" xfId="0" applyFont="1" applyFill="1" applyBorder="1" applyAlignment="1">
      <alignment vertical="top"/>
    </xf>
    <xf numFmtId="0" fontId="4" fillId="5" borderId="3" xfId="0" applyFont="1" applyFill="1" applyBorder="1" applyAlignment="1">
      <alignment horizontal="right" vertical="top"/>
    </xf>
    <xf numFmtId="170" fontId="5" fillId="0" borderId="0" xfId="0" applyNumberFormat="1" applyFont="1"/>
    <xf numFmtId="10" fontId="6" fillId="0" borderId="0" xfId="0" applyNumberFormat="1" applyFont="1" applyAlignment="1">
      <alignment vertical="top"/>
    </xf>
    <xf numFmtId="10" fontId="0" fillId="0" borderId="0" xfId="2" applyNumberFormat="1" applyFont="1"/>
    <xf numFmtId="2" fontId="5" fillId="0" borderId="0" xfId="0" applyNumberFormat="1" applyFont="1"/>
    <xf numFmtId="2" fontId="0" fillId="0" borderId="0" xfId="0" applyNumberFormat="1"/>
    <xf numFmtId="10" fontId="0" fillId="4" borderId="0" xfId="2" applyNumberFormat="1" applyFont="1" applyFill="1"/>
    <xf numFmtId="0" fontId="5" fillId="8" borderId="0" xfId="0" applyFont="1" applyFill="1"/>
    <xf numFmtId="0" fontId="6" fillId="8" borderId="0" xfId="0" applyFont="1" applyFill="1"/>
    <xf numFmtId="170" fontId="5" fillId="8" borderId="0" xfId="0" applyNumberFormat="1" applyFont="1" applyFill="1"/>
    <xf numFmtId="10" fontId="6" fillId="8" borderId="0" xfId="0" applyNumberFormat="1" applyFont="1" applyFill="1" applyAlignment="1">
      <alignment vertical="top"/>
    </xf>
    <xf numFmtId="10" fontId="0" fillId="8" borderId="0" xfId="2" applyNumberFormat="1" applyFont="1" applyFill="1"/>
    <xf numFmtId="2" fontId="5" fillId="8" borderId="0" xfId="0" applyNumberFormat="1" applyFont="1" applyFill="1"/>
    <xf numFmtId="2" fontId="0" fillId="8" borderId="0" xfId="0" applyNumberFormat="1" applyFill="1"/>
    <xf numFmtId="0" fontId="8" fillId="0" borderId="4" xfId="0" applyFont="1" applyBorder="1"/>
    <xf numFmtId="10" fontId="0" fillId="0" borderId="4" xfId="2" applyNumberFormat="1" applyFont="1" applyBorder="1"/>
    <xf numFmtId="2" fontId="0" fillId="0" borderId="4" xfId="0" applyNumberFormat="1" applyBorder="1"/>
    <xf numFmtId="0" fontId="8" fillId="0" borderId="5" xfId="0" applyFont="1" applyBorder="1"/>
    <xf numFmtId="10" fontId="0" fillId="0" borderId="5" xfId="2" applyNumberFormat="1" applyFont="1" applyBorder="1"/>
    <xf numFmtId="2" fontId="0" fillId="0" borderId="5" xfId="0" applyNumberFormat="1" applyBorder="1"/>
    <xf numFmtId="0" fontId="0" fillId="0" borderId="5" xfId="0" applyBorder="1"/>
    <xf numFmtId="10" fontId="6" fillId="0" borderId="0" xfId="2" applyNumberFormat="1" applyFont="1"/>
    <xf numFmtId="10" fontId="6" fillId="0" borderId="0" xfId="0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0" fontId="0" fillId="0" borderId="6" xfId="0" applyBorder="1"/>
    <xf numFmtId="10" fontId="0" fillId="4" borderId="6" xfId="2" applyNumberFormat="1" applyFont="1" applyFill="1" applyBorder="1"/>
    <xf numFmtId="2" fontId="0" fillId="0" borderId="0" xfId="0" applyNumberFormat="1" applyAlignment="1">
      <alignment horizontal="right"/>
    </xf>
    <xf numFmtId="10" fontId="0" fillId="4" borderId="6" xfId="0" applyNumberFormat="1" applyFill="1" applyBorder="1"/>
    <xf numFmtId="0" fontId="8" fillId="0" borderId="5" xfId="0" applyFont="1" applyBorder="1" applyAlignment="1">
      <alignment horizontal="right"/>
    </xf>
    <xf numFmtId="170" fontId="6" fillId="0" borderId="0" xfId="0" applyNumberFormat="1" applyFont="1"/>
    <xf numFmtId="10" fontId="0" fillId="0" borderId="6" xfId="2" applyNumberFormat="1" applyFont="1" applyBorder="1"/>
    <xf numFmtId="10" fontId="0" fillId="0" borderId="6" xfId="0" applyNumberFormat="1" applyBorder="1"/>
    <xf numFmtId="2" fontId="0" fillId="0" borderId="6" xfId="0" applyNumberFormat="1" applyBorder="1"/>
    <xf numFmtId="10" fontId="8" fillId="4" borderId="0" xfId="0" applyNumberFormat="1" applyFont="1" applyFill="1"/>
    <xf numFmtId="0" fontId="12" fillId="0" borderId="0" xfId="0" applyFont="1"/>
    <xf numFmtId="0" fontId="8" fillId="8" borderId="0" xfId="0" applyFont="1" applyFill="1"/>
    <xf numFmtId="10" fontId="8" fillId="8" borderId="0" xfId="0" applyNumberFormat="1" applyFont="1" applyFill="1"/>
    <xf numFmtId="0" fontId="14" fillId="0" borderId="0" xfId="0" applyFont="1"/>
    <xf numFmtId="0" fontId="8" fillId="9" borderId="0" xfId="0" applyFont="1" applyFill="1" applyAlignment="1">
      <alignment horizontal="left"/>
    </xf>
    <xf numFmtId="0" fontId="8" fillId="9" borderId="0" xfId="0" applyFont="1" applyFill="1" applyAlignment="1">
      <alignment horizontal="right"/>
    </xf>
    <xf numFmtId="171" fontId="0" fillId="0" borderId="0" xfId="0" applyNumberFormat="1"/>
    <xf numFmtId="0" fontId="8" fillId="4" borderId="0" xfId="0" applyFont="1" applyFill="1"/>
    <xf numFmtId="0" fontId="9" fillId="3" borderId="0" xfId="0" applyFont="1" applyFill="1"/>
    <xf numFmtId="172" fontId="4" fillId="3" borderId="0" xfId="0" applyNumberFormat="1" applyFont="1" applyFill="1"/>
    <xf numFmtId="0" fontId="0" fillId="0" borderId="7" xfId="0" applyBorder="1"/>
    <xf numFmtId="173" fontId="5" fillId="0" borderId="7" xfId="0" applyNumberFormat="1" applyFont="1" applyBorder="1"/>
    <xf numFmtId="173" fontId="5" fillId="0" borderId="0" xfId="0" applyNumberFormat="1" applyFont="1"/>
    <xf numFmtId="0" fontId="8" fillId="0" borderId="2" xfId="0" applyFont="1" applyBorder="1"/>
    <xf numFmtId="0" fontId="0" fillId="0" borderId="2" xfId="0" applyBorder="1"/>
    <xf numFmtId="173" fontId="8" fillId="0" borderId="2" xfId="0" applyNumberFormat="1" applyFont="1" applyBorder="1"/>
    <xf numFmtId="173" fontId="0" fillId="0" borderId="0" xfId="0" applyNumberFormat="1"/>
    <xf numFmtId="173" fontId="8" fillId="0" borderId="1" xfId="0" applyNumberFormat="1" applyFont="1" applyBorder="1"/>
    <xf numFmtId="173" fontId="0" fillId="0" borderId="7" xfId="0" applyNumberFormat="1" applyBorder="1"/>
    <xf numFmtId="173" fontId="8" fillId="0" borderId="0" xfId="0" applyNumberFormat="1" applyFont="1"/>
    <xf numFmtId="173" fontId="15" fillId="0" borderId="0" xfId="0" applyNumberFormat="1" applyFont="1"/>
    <xf numFmtId="0" fontId="0" fillId="0" borderId="1" xfId="0" applyBorder="1"/>
    <xf numFmtId="10" fontId="8" fillId="0" borderId="1" xfId="2" applyNumberFormat="1" applyFont="1" applyBorder="1"/>
    <xf numFmtId="10" fontId="6" fillId="0" borderId="7" xfId="0" applyNumberFormat="1" applyFont="1" applyBorder="1"/>
    <xf numFmtId="173" fontId="16" fillId="0" borderId="7" xfId="0" applyNumberFormat="1" applyFont="1" applyBorder="1"/>
    <xf numFmtId="0" fontId="8" fillId="10" borderId="0" xfId="0" applyFont="1" applyFill="1"/>
    <xf numFmtId="10" fontId="8" fillId="10" borderId="0" xfId="0" applyNumberFormat="1" applyFont="1" applyFill="1"/>
    <xf numFmtId="10" fontId="0" fillId="0" borderId="7" xfId="0" applyNumberFormat="1" applyBorder="1"/>
    <xf numFmtId="10" fontId="8" fillId="0" borderId="1" xfId="0" applyNumberFormat="1" applyFont="1" applyBorder="1"/>
    <xf numFmtId="174" fontId="0" fillId="0" borderId="0" xfId="0" applyNumberFormat="1"/>
    <xf numFmtId="0" fontId="13" fillId="5" borderId="0" xfId="0" applyFont="1" applyFill="1"/>
    <xf numFmtId="0" fontId="13" fillId="5" borderId="0" xfId="0" applyFont="1" applyFill="1" applyAlignment="1">
      <alignment wrapText="1"/>
    </xf>
    <xf numFmtId="0" fontId="13" fillId="5" borderId="0" xfId="0" applyFont="1" applyFill="1" applyAlignment="1">
      <alignment horizontal="right" wrapText="1"/>
    </xf>
    <xf numFmtId="0" fontId="13" fillId="5" borderId="0" xfId="0" applyFont="1" applyFill="1" applyAlignment="1">
      <alignment horizontal="right"/>
    </xf>
    <xf numFmtId="0" fontId="13" fillId="0" borderId="0" xfId="0" applyFont="1"/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0" fillId="0" borderId="9" xfId="0" applyBorder="1"/>
    <xf numFmtId="173" fontId="5" fillId="0" borderId="9" xfId="0" applyNumberFormat="1" applyFont="1" applyBorder="1"/>
    <xf numFmtId="175" fontId="0" fillId="0" borderId="9" xfId="0" applyNumberFormat="1" applyBorder="1"/>
    <xf numFmtId="0" fontId="8" fillId="12" borderId="9" xfId="0" applyFont="1" applyFill="1" applyBorder="1"/>
    <xf numFmtId="175" fontId="8" fillId="12" borderId="9" xfId="0" applyNumberFormat="1" applyFont="1" applyFill="1" applyBorder="1"/>
    <xf numFmtId="0" fontId="4" fillId="5" borderId="3" xfId="0" applyFont="1" applyFill="1" applyBorder="1"/>
    <xf numFmtId="0" fontId="9" fillId="5" borderId="0" xfId="0" applyFont="1" applyFill="1"/>
    <xf numFmtId="0" fontId="4" fillId="5" borderId="0" xfId="0" applyFont="1" applyFill="1" applyAlignment="1">
      <alignment horizontal="right"/>
    </xf>
    <xf numFmtId="0" fontId="4" fillId="5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8" fillId="0" borderId="10" xfId="0" applyFont="1" applyBorder="1"/>
    <xf numFmtId="173" fontId="8" fillId="0" borderId="10" xfId="0" applyNumberFormat="1" applyFont="1" applyBorder="1"/>
    <xf numFmtId="0" fontId="14" fillId="12" borderId="0" xfId="0" applyFont="1" applyFill="1"/>
    <xf numFmtId="0" fontId="4" fillId="13" borderId="0" xfId="0" applyFont="1" applyFill="1"/>
    <xf numFmtId="0" fontId="0" fillId="13" borderId="0" xfId="0" applyFill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172" fontId="4" fillId="0" borderId="0" xfId="0" applyNumberFormat="1" applyFont="1"/>
    <xf numFmtId="0" fontId="8" fillId="0" borderId="11" xfId="0" applyFont="1" applyBorder="1"/>
    <xf numFmtId="173" fontId="8" fillId="0" borderId="11" xfId="0" applyNumberFormat="1" applyFont="1" applyBorder="1"/>
    <xf numFmtId="173" fontId="0" fillId="0" borderId="2" xfId="0" applyNumberFormat="1" applyBorder="1"/>
    <xf numFmtId="173" fontId="0" fillId="0" borderId="12" xfId="0" applyNumberFormat="1" applyBorder="1"/>
    <xf numFmtId="172" fontId="13" fillId="3" borderId="0" xfId="0" applyNumberFormat="1" applyFont="1" applyFill="1"/>
    <xf numFmtId="172" fontId="0" fillId="0" borderId="0" xfId="0" applyNumberFormat="1"/>
    <xf numFmtId="9" fontId="0" fillId="0" borderId="0" xfId="0" applyNumberFormat="1"/>
    <xf numFmtId="0" fontId="18" fillId="0" borderId="0" xfId="0" applyFont="1"/>
    <xf numFmtId="176" fontId="0" fillId="0" borderId="0" xfId="0" applyNumberFormat="1"/>
    <xf numFmtId="4" fontId="0" fillId="0" borderId="0" xfId="1" applyNumberFormat="1" applyFont="1"/>
    <xf numFmtId="0" fontId="0" fillId="11" borderId="0" xfId="0" applyFill="1"/>
    <xf numFmtId="4" fontId="0" fillId="11" borderId="0" xfId="0" applyNumberFormat="1" applyFill="1"/>
    <xf numFmtId="176" fontId="0" fillId="11" borderId="0" xfId="0" applyNumberFormat="1" applyFill="1"/>
    <xf numFmtId="167" fontId="20" fillId="0" borderId="0" xfId="4" applyNumberFormat="1" applyFont="1"/>
    <xf numFmtId="167" fontId="21" fillId="0" borderId="0" xfId="4" applyNumberFormat="1" applyFont="1"/>
    <xf numFmtId="0" fontId="20" fillId="0" borderId="0" xfId="7" applyFont="1"/>
    <xf numFmtId="177" fontId="23" fillId="14" borderId="0" xfId="4" applyNumberFormat="1" applyFont="1" applyFill="1"/>
    <xf numFmtId="177" fontId="23" fillId="14" borderId="0" xfId="7" applyNumberFormat="1" applyFont="1" applyFill="1" applyAlignment="1">
      <alignment horizontal="center"/>
    </xf>
    <xf numFmtId="177" fontId="24" fillId="0" borderId="0" xfId="4" applyNumberFormat="1" applyFont="1"/>
    <xf numFmtId="0" fontId="7" fillId="0" borderId="0" xfId="7"/>
    <xf numFmtId="9" fontId="20" fillId="0" borderId="0" xfId="8" applyFont="1"/>
    <xf numFmtId="0" fontId="3" fillId="0" borderId="0" xfId="6"/>
    <xf numFmtId="164" fontId="20" fillId="0" borderId="0" xfId="4" applyFont="1"/>
    <xf numFmtId="0" fontId="25" fillId="15" borderId="9" xfId="0" applyFont="1" applyFill="1" applyBorder="1"/>
    <xf numFmtId="173" fontId="25" fillId="15" borderId="9" xfId="0" applyNumberFormat="1" applyFont="1" applyFill="1" applyBorder="1"/>
    <xf numFmtId="173" fontId="26" fillId="15" borderId="9" xfId="0" applyNumberFormat="1" applyFont="1" applyFill="1" applyBorder="1"/>
    <xf numFmtId="0" fontId="27" fillId="15" borderId="9" xfId="0" applyFont="1" applyFill="1" applyBorder="1"/>
    <xf numFmtId="175" fontId="27" fillId="15" borderId="9" xfId="0" applyNumberFormat="1" applyFont="1" applyFill="1" applyBorder="1"/>
    <xf numFmtId="0" fontId="19" fillId="5" borderId="0" xfId="0" applyFont="1" applyFill="1" applyAlignment="1">
      <alignment horizontal="left"/>
    </xf>
    <xf numFmtId="0" fontId="10" fillId="7" borderId="0" xfId="0" applyFont="1" applyFill="1" applyAlignment="1">
      <alignment horizontal="center"/>
    </xf>
    <xf numFmtId="0" fontId="10" fillId="7" borderId="0" xfId="0" applyFont="1" applyFill="1" applyAlignment="1">
      <alignment horizontal="left"/>
    </xf>
    <xf numFmtId="0" fontId="13" fillId="3" borderId="0" xfId="0" applyFont="1" applyFill="1" applyAlignment="1">
      <alignment horizontal="center"/>
    </xf>
    <xf numFmtId="0" fontId="17" fillId="5" borderId="0" xfId="0" applyFont="1" applyFill="1" applyAlignment="1">
      <alignment horizontal="center"/>
    </xf>
    <xf numFmtId="0" fontId="4" fillId="5" borderId="8" xfId="0" applyFont="1" applyFill="1" applyBorder="1" applyAlignment="1">
      <alignment horizontal="center"/>
    </xf>
    <xf numFmtId="167" fontId="22" fillId="0" borderId="0" xfId="5" applyNumberFormat="1" applyFont="1" applyAlignment="1" applyProtection="1">
      <alignment horizontal="center"/>
    </xf>
    <xf numFmtId="167" fontId="23" fillId="2" borderId="0" xfId="3" applyNumberFormat="1" applyFont="1" applyAlignment="1">
      <alignment horizontal="center"/>
    </xf>
  </cellXfs>
  <cellStyles count="9">
    <cellStyle name="Accent6 2" xfId="3" xr:uid="{00000000-0005-0000-0000-000006000000}"/>
    <cellStyle name="Comma" xfId="1" builtinId="3"/>
    <cellStyle name="Comma 2" xfId="4" xr:uid="{00000000-0005-0000-0000-000007000000}"/>
    <cellStyle name="Hyperlink 2" xfId="5" xr:uid="{00000000-0005-0000-0000-000008000000}"/>
    <cellStyle name="Normal" xfId="0" builtinId="0"/>
    <cellStyle name="Normal 2" xfId="6" xr:uid="{00000000-0005-0000-0000-000009000000}"/>
    <cellStyle name="Normal 3" xfId="7" xr:uid="{00000000-0005-0000-0000-00000A000000}"/>
    <cellStyle name="Percent" xfId="2" builtinId="5"/>
    <cellStyle name="Percent 3" xfId="8" xr:uid="{00000000-0005-0000-0000-00000B000000}"/>
  </cellStyles>
  <dxfs count="1">
    <dxf>
      <font>
        <b/>
        <color rgb="FFFFFFFF"/>
      </font>
      <fill>
        <patternFill>
          <bgColor theme="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3333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75D8"/>
      <rgbColor rgb="FFB4C7E7"/>
      <rgbColor rgb="FF595959"/>
      <rgbColor rgb="FF8FAADC"/>
      <rgbColor rgb="FF993366"/>
      <rgbColor rgb="FFF2F2F2"/>
      <rgbColor rgb="FFEBEE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2F5597"/>
      <rgbColor rgb="FF0000FF"/>
      <rgbColor rgb="FF00CCFF"/>
      <rgbColor rgb="FFDAE3F3"/>
      <rgbColor rgb="FFE7E6E6"/>
      <rgbColor rgb="FFFFF2A6"/>
      <rgbColor rgb="FF99CCFF"/>
      <rgbColor rgb="FFFF99CC"/>
      <rgbColor rgb="FFCC99FF"/>
      <rgbColor rgb="FFFFCC99"/>
      <rgbColor rgb="FF4472C4"/>
      <rgbColor rgb="FF33CCCC"/>
      <rgbColor rgb="FF70AD47"/>
      <rgbColor rgb="FFFFCC00"/>
      <rgbColor rgb="FFFF9900"/>
      <rgbColor rgb="FFED7D31"/>
      <rgbColor rgb="FF657D9D"/>
      <rgbColor rgb="FFA6A6A6"/>
      <rgbColor rgb="FF002060"/>
      <rgbColor rgb="FF00B050"/>
      <rgbColor rgb="FF003300"/>
      <rgbColor rgb="FF333300"/>
      <rgbColor rgb="FF993300"/>
      <rgbColor rgb="FF993366"/>
      <rgbColor rgb="FF20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IN" sz="1400" b="1" strike="noStrike" spc="-1">
                <a:solidFill>
                  <a:srgbClr val="002060"/>
                </a:solidFill>
                <a:latin typeface="Calibri"/>
              </a:defRPr>
            </a:pPr>
            <a:r>
              <a:rPr lang="en-IN" sz="1400" b="1" i="0" u="none" strike="noStrike" kern="1200" spc="-1" baseline="0">
                <a:solidFill>
                  <a:srgbClr val="002060"/>
                </a:solidFill>
                <a:latin typeface="Calibri"/>
              </a:rPr>
              <a:t>Football Field Analysis - Valuation Summary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tockChart>
        <c:ser>
          <c:idx val="1"/>
          <c:order val="0"/>
          <c:cat>
            <c:strRef>
              <c:f>'Football Field Analysis'!$L$4:$L$8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Analysis'!$M$4:$M$8</c:f>
              <c:numCache>
                <c:formatCode>0.00</c:formatCode>
                <c:ptCount val="5"/>
                <c:pt idx="0">
                  <c:v>3265.6629838628673</c:v>
                </c:pt>
                <c:pt idx="1">
                  <c:v>756.61585418260131</c:v>
                </c:pt>
                <c:pt idx="2">
                  <c:v>877.10496878581694</c:v>
                </c:pt>
                <c:pt idx="3">
                  <c:v>1097.6531685219948</c:v>
                </c:pt>
                <c:pt idx="4">
                  <c:v>4300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123-40F9-AA5D-67A0C77EDDE8}"/>
            </c:ext>
          </c:extLst>
        </c:ser>
        <c:ser>
          <c:idx val="2"/>
          <c:order val="1"/>
          <c:dLbls>
            <c:numFmt formatCode="&quot;₹&quot;\ #,##0" sourceLinked="0"/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 Analysis'!$L$4:$L$8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Analysis'!$N$4:$N$8</c:f>
              <c:numCache>
                <c:formatCode>0.00</c:formatCode>
                <c:ptCount val="5"/>
                <c:pt idx="0">
                  <c:v>3265.6629838628673</c:v>
                </c:pt>
                <c:pt idx="1">
                  <c:v>756.61585418260131</c:v>
                </c:pt>
                <c:pt idx="2">
                  <c:v>877.10496878581694</c:v>
                </c:pt>
                <c:pt idx="3">
                  <c:v>1097.6531685219948</c:v>
                </c:pt>
                <c:pt idx="4" formatCode="#,##0.00">
                  <c:v>4300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E123-40F9-AA5D-67A0C77EDDE8}"/>
            </c:ext>
          </c:extLst>
        </c:ser>
        <c:ser>
          <c:idx val="3"/>
          <c:order val="2"/>
          <c:cat>
            <c:strRef>
              <c:f>'Football Field Analysis'!$L$4:$L$8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Analysis'!$O$4:$O$8</c:f>
              <c:numCache>
                <c:formatCode>0.00</c:formatCode>
                <c:ptCount val="5"/>
                <c:pt idx="0">
                  <c:v>3437.1970516890524</c:v>
                </c:pt>
                <c:pt idx="1">
                  <c:v>1097.6531685219952</c:v>
                </c:pt>
                <c:pt idx="2">
                  <c:v>1631.4001353727201</c:v>
                </c:pt>
                <c:pt idx="3">
                  <c:v>4779.2516620498527</c:v>
                </c:pt>
                <c:pt idx="4">
                  <c:v>6788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E123-40F9-AA5D-67A0C77EDDE8}"/>
            </c:ext>
          </c:extLst>
        </c:ser>
        <c:ser>
          <c:idx val="4"/>
          <c:order val="3"/>
          <c:dLbls>
            <c:numFmt formatCode="&quot;₹&quot;\ #,##0" sourceLinked="0"/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 Analysis'!$L$4:$L$8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Analysis'!$P$4:$P$8</c:f>
              <c:numCache>
                <c:formatCode>0.00</c:formatCode>
                <c:ptCount val="5"/>
                <c:pt idx="0">
                  <c:v>3437.1970516890524</c:v>
                </c:pt>
                <c:pt idx="1">
                  <c:v>1097.6531685219952</c:v>
                </c:pt>
                <c:pt idx="2">
                  <c:v>1631.4001353727201</c:v>
                </c:pt>
                <c:pt idx="3">
                  <c:v>4779.2516620498527</c:v>
                </c:pt>
                <c:pt idx="4" formatCode="#,##0.00">
                  <c:v>6788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E123-40F9-AA5D-67A0C77ED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360">
              <a:solidFill>
                <a:srgbClr val="404040"/>
              </a:solidFill>
              <a:bevel/>
            </a:ln>
          </c:spPr>
        </c:hiLowLines>
        <c:upDownBars>
          <c:gapWidth val="150"/>
          <c:upBars>
            <c:spPr>
              <a:solidFill>
                <a:srgbClr val="2F5597"/>
              </a:solidFill>
              <a:ln w="9360">
                <a:solidFill>
                  <a:srgbClr val="A6A6A6"/>
                </a:solidFill>
                <a:round/>
              </a:ln>
            </c:spPr>
          </c:upBars>
          <c:downBars>
            <c:spPr>
              <a:solidFill>
                <a:srgbClr val="404040"/>
              </a:solidFill>
              <a:ln w="9360">
                <a:solidFill>
                  <a:srgbClr val="595959"/>
                </a:solidFill>
                <a:round/>
              </a:ln>
            </c:spPr>
          </c:downBars>
        </c:upDownBars>
        <c:axId val="568254"/>
        <c:axId val="13645886"/>
      </c:stockChart>
      <c:catAx>
        <c:axId val="5682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1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3645886"/>
        <c:crosses val="autoZero"/>
        <c:auto val="1"/>
        <c:lblAlgn val="ctr"/>
        <c:lblOffset val="100"/>
        <c:noMultiLvlLbl val="0"/>
      </c:catAx>
      <c:valAx>
        <c:axId val="13645886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1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682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515815</xdr:colOff>
      <xdr:row>4</xdr:row>
      <xdr:rowOff>158261</xdr:rowOff>
    </xdr:from>
    <xdr:to>
      <xdr:col>14</xdr:col>
      <xdr:colOff>234461</xdr:colOff>
      <xdr:row>9</xdr:row>
      <xdr:rowOff>164123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B4D2663-C9FF-ECD2-B797-77D50AD3AA2D}"/>
            </a:ext>
          </a:extLst>
        </xdr:cNvPr>
        <xdr:cNvCxnSpPr/>
      </xdr:nvCxnSpPr>
      <xdr:spPr>
        <a:xfrm>
          <a:off x="7156938" y="885092"/>
          <a:ext cx="914400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568569</xdr:colOff>
      <xdr:row>0</xdr:row>
      <xdr:rowOff>181121</xdr:rowOff>
    </xdr:from>
    <xdr:to>
      <xdr:col>9</xdr:col>
      <xdr:colOff>400343</xdr:colOff>
      <xdr:row>16</xdr:row>
      <xdr:rowOff>15825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58E3EF-FCCE-C156-C91E-FAAB7890F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</xdr:colOff>
      <xdr:row>14</xdr:row>
      <xdr:rowOff>137160</xdr:rowOff>
    </xdr:from>
    <xdr:to>
      <xdr:col>11</xdr:col>
      <xdr:colOff>381000</xdr:colOff>
      <xdr:row>14</xdr:row>
      <xdr:rowOff>175260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B97CB7F-1039-33CD-BE8F-18D00FF812DE}"/>
            </a:ext>
          </a:extLst>
        </xdr:cNvPr>
        <xdr:cNvCxnSpPr/>
      </xdr:nvCxnSpPr>
      <xdr:spPr>
        <a:xfrm>
          <a:off x="4320540" y="2697480"/>
          <a:ext cx="2133600" cy="38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515007</xdr:colOff>
      <xdr:row>9</xdr:row>
      <xdr:rowOff>26276</xdr:rowOff>
    </xdr:from>
    <xdr:to>
      <xdr:col>9</xdr:col>
      <xdr:colOff>310055</xdr:colOff>
      <xdr:row>9</xdr:row>
      <xdr:rowOff>47297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CBA0D830-D844-1542-8F87-2D4EF9524ED7}"/>
            </a:ext>
          </a:extLst>
        </xdr:cNvPr>
        <xdr:cNvCxnSpPr/>
      </xdr:nvCxnSpPr>
      <xdr:spPr>
        <a:xfrm flipH="1">
          <a:off x="1240221" y="1681655"/>
          <a:ext cx="3951889" cy="2102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7"/>
  <sheetViews>
    <sheetView showGridLines="0" zoomScale="115" zoomScaleNormal="115" workbookViewId="0">
      <selection activeCell="F19" sqref="F19"/>
    </sheetView>
  </sheetViews>
  <sheetFormatPr defaultColWidth="8.6640625" defaultRowHeight="14.4" x14ac:dyDescent="0.3"/>
  <cols>
    <col min="1" max="1" width="1.88671875" customWidth="1"/>
    <col min="2" max="2" width="32.77734375" customWidth="1"/>
    <col min="3" max="3" width="11.21875" customWidth="1"/>
    <col min="4" max="4" width="9" customWidth="1"/>
    <col min="5" max="9" width="10.5546875" customWidth="1"/>
  </cols>
  <sheetData>
    <row r="2" spans="1:8" x14ac:dyDescent="0.3">
      <c r="A2" t="s">
        <v>0</v>
      </c>
      <c r="B2" s="1" t="s">
        <v>1</v>
      </c>
      <c r="C2" s="2">
        <f>'Intrisic Growth'!K2</f>
        <v>46082</v>
      </c>
      <c r="D2" s="3">
        <f>C2+366</f>
        <v>46448</v>
      </c>
      <c r="E2" s="3">
        <f>D2+366</f>
        <v>46814</v>
      </c>
      <c r="F2" s="3">
        <f>E2+366</f>
        <v>47180</v>
      </c>
      <c r="G2" s="3">
        <f>F2+366</f>
        <v>47546</v>
      </c>
      <c r="H2" s="3">
        <f>G2+366</f>
        <v>47912</v>
      </c>
    </row>
    <row r="4" spans="1:8" x14ac:dyDescent="0.3">
      <c r="B4" t="s">
        <v>2</v>
      </c>
      <c r="C4" s="4">
        <f>'Data Sheet'!K34-'Data Sheet'!K26</f>
        <v>2483.8999999999996</v>
      </c>
      <c r="D4" s="5">
        <f>C4*(1+$C$13)</f>
        <v>3198.0533675991146</v>
      </c>
      <c r="E4" s="5">
        <f>D4*(1+$C$13)</f>
        <v>4117.5350626080117</v>
      </c>
      <c r="F4" s="5">
        <f>E4*(1+$C$13)</f>
        <v>5301.3796341161014</v>
      </c>
      <c r="G4" s="5">
        <f>F4*(1+$C$13)</f>
        <v>6825.5948274110724</v>
      </c>
      <c r="H4" s="5">
        <f>G4*(1+$C$13)</f>
        <v>8788.0415973545969</v>
      </c>
    </row>
    <row r="5" spans="1:8" x14ac:dyDescent="0.3">
      <c r="B5" t="s">
        <v>3</v>
      </c>
      <c r="C5" s="6">
        <v>0.25</v>
      </c>
      <c r="D5" s="7">
        <f>C5</f>
        <v>0.25</v>
      </c>
      <c r="E5" s="7">
        <f>D5</f>
        <v>0.25</v>
      </c>
      <c r="F5" s="7">
        <f>E5</f>
        <v>0.25</v>
      </c>
      <c r="G5" s="7">
        <f>F5</f>
        <v>0.25</v>
      </c>
      <c r="H5" s="7">
        <f>G5</f>
        <v>0.25</v>
      </c>
    </row>
    <row r="6" spans="1:8" x14ac:dyDescent="0.3">
      <c r="B6" t="s">
        <v>4</v>
      </c>
      <c r="C6" s="8">
        <f t="shared" ref="C6:H6" si="0">C4*(1-C5)</f>
        <v>1862.9249999999997</v>
      </c>
      <c r="D6" s="9">
        <f t="shared" si="0"/>
        <v>2398.5400256993362</v>
      </c>
      <c r="E6" s="9">
        <f t="shared" si="0"/>
        <v>3088.151296956009</v>
      </c>
      <c r="F6" s="9">
        <f t="shared" si="0"/>
        <v>3976.0347255870761</v>
      </c>
      <c r="G6" s="9">
        <f t="shared" si="0"/>
        <v>5119.1961205583048</v>
      </c>
      <c r="H6" s="9">
        <f t="shared" si="0"/>
        <v>6591.0311980159477</v>
      </c>
    </row>
    <row r="7" spans="1:8" x14ac:dyDescent="0.3">
      <c r="B7" t="s">
        <v>5</v>
      </c>
      <c r="C7" s="10">
        <f>'Intrisic Growth'!K52</f>
        <v>0.69188048663448787</v>
      </c>
      <c r="D7" s="11">
        <f>C7</f>
        <v>0.69188048663448787</v>
      </c>
      <c r="E7" s="11">
        <f>D7</f>
        <v>0.69188048663448787</v>
      </c>
      <c r="F7" s="11">
        <f>E7</f>
        <v>0.69188048663448787</v>
      </c>
      <c r="G7" s="11">
        <f>F7</f>
        <v>0.69188048663448787</v>
      </c>
      <c r="H7" s="11">
        <f>G7</f>
        <v>0.69188048663448787</v>
      </c>
    </row>
    <row r="8" spans="1:8" ht="15" customHeight="1" x14ac:dyDescent="0.3">
      <c r="B8" s="12" t="s">
        <v>6</v>
      </c>
      <c r="C8" s="13">
        <f t="shared" ref="C8:H8" si="1">C6*(1-C7)</f>
        <v>574.00354443644665</v>
      </c>
      <c r="D8" s="14">
        <f t="shared" si="1"/>
        <v>739.03698550618242</v>
      </c>
      <c r="E8" s="14">
        <f t="shared" si="1"/>
        <v>951.51967481716065</v>
      </c>
      <c r="F8" s="14">
        <f t="shared" si="1"/>
        <v>1225.0938847722675</v>
      </c>
      <c r="G8" s="14">
        <f t="shared" si="1"/>
        <v>1577.3242174890424</v>
      </c>
      <c r="H8" s="14">
        <f t="shared" si="1"/>
        <v>2030.8253253095822</v>
      </c>
    </row>
    <row r="9" spans="1:8" x14ac:dyDescent="0.3">
      <c r="B9" t="s">
        <v>7</v>
      </c>
      <c r="C9" s="15"/>
      <c r="D9" s="16">
        <v>0.5</v>
      </c>
      <c r="E9" s="16">
        <f>D9+1</f>
        <v>1.5</v>
      </c>
      <c r="F9" s="16">
        <f>E9+1</f>
        <v>2.5</v>
      </c>
      <c r="G9" s="16">
        <f>F9+1</f>
        <v>3.5</v>
      </c>
      <c r="H9" s="16">
        <f>G9+1</f>
        <v>4.5</v>
      </c>
    </row>
    <row r="10" spans="1:8" x14ac:dyDescent="0.3">
      <c r="B10" t="s">
        <v>8</v>
      </c>
      <c r="C10" s="17"/>
      <c r="D10" s="18">
        <f>1/(1+$C$15)^D9</f>
        <v>0.9324503334922517</v>
      </c>
      <c r="E10" s="18">
        <f>1/(1+$C$15)^E9</f>
        <v>0.81073164655895924</v>
      </c>
      <c r="F10" s="18">
        <f>1/(1+$C$15)^F9</f>
        <v>0.70490167585710162</v>
      </c>
      <c r="G10" s="18">
        <f>1/(1+$C$15)^G9</f>
        <v>0.61288636595736357</v>
      </c>
      <c r="H10" s="18">
        <f>1/(1+$C$15)^H9</f>
        <v>0.53288240110890495</v>
      </c>
    </row>
    <row r="11" spans="1:8" ht="15" customHeight="1" x14ac:dyDescent="0.3">
      <c r="B11" s="12" t="s">
        <v>9</v>
      </c>
      <c r="C11" s="19"/>
      <c r="D11" s="14">
        <f>D8*D10</f>
        <v>689.11528359834813</v>
      </c>
      <c r="E11" s="14">
        <f>E8*E10</f>
        <v>771.42711269776214</v>
      </c>
      <c r="F11" s="14">
        <f>F8*F10</f>
        <v>863.57073245825836</v>
      </c>
      <c r="G11" s="14">
        <f>G8*G10</f>
        <v>966.72050759340141</v>
      </c>
      <c r="H11" s="14">
        <f>H8*H10</f>
        <v>1082.1910755837432</v>
      </c>
    </row>
    <row r="13" spans="1:8" x14ac:dyDescent="0.3">
      <c r="A13" t="s">
        <v>0</v>
      </c>
      <c r="B13" s="20" t="s">
        <v>10</v>
      </c>
      <c r="C13" s="21">
        <f>'Intrisic Growth'!K62</f>
        <v>0.28751293031084801</v>
      </c>
      <c r="G13" t="s">
        <v>11</v>
      </c>
    </row>
    <row r="14" spans="1:8" x14ac:dyDescent="0.3">
      <c r="B14" s="20" t="s">
        <v>12</v>
      </c>
      <c r="C14" s="7">
        <v>5.3800000000000001E-2</v>
      </c>
      <c r="D14" t="s">
        <v>13</v>
      </c>
    </row>
    <row r="15" spans="1:8" x14ac:dyDescent="0.3">
      <c r="B15" s="20" t="s">
        <v>14</v>
      </c>
      <c r="C15" s="21">
        <f>WACC!J33</f>
        <v>0.15013437239055713</v>
      </c>
    </row>
    <row r="17" spans="1:10" x14ac:dyDescent="0.3">
      <c r="A17" t="s">
        <v>0</v>
      </c>
      <c r="B17" s="1" t="s">
        <v>15</v>
      </c>
      <c r="C17" s="22"/>
      <c r="E17" s="23" t="s">
        <v>16</v>
      </c>
      <c r="F17" s="24"/>
      <c r="G17" s="23"/>
      <c r="H17" s="24"/>
      <c r="I17" s="23"/>
      <c r="J17" s="24"/>
    </row>
    <row r="18" spans="1:10" x14ac:dyDescent="0.3">
      <c r="E18" s="25">
        <f>C35</f>
        <v>1097.653168521995</v>
      </c>
      <c r="F18" s="26">
        <f>G18-2%</f>
        <v>0.11013437239055714</v>
      </c>
      <c r="G18" s="26">
        <f>H18-2%</f>
        <v>0.13013437239055714</v>
      </c>
      <c r="H18" s="26">
        <f>C15</f>
        <v>0.15013437239055713</v>
      </c>
      <c r="I18" s="26">
        <f>H18+2%</f>
        <v>0.17013437239055712</v>
      </c>
      <c r="J18" s="26">
        <f>I18+2%</f>
        <v>0.19013437239055711</v>
      </c>
    </row>
    <row r="19" spans="1:10" x14ac:dyDescent="0.3">
      <c r="B19" t="s">
        <v>17</v>
      </c>
      <c r="C19" s="9">
        <f>H8*(1+C14)</f>
        <v>2140.0837278112381</v>
      </c>
      <c r="E19" s="26">
        <f>E20-2%</f>
        <v>1.3799999999999996E-2</v>
      </c>
      <c r="F19" s="27">
        <f t="dataTable" ref="F19:J23" dt2D="1" dtr="1" r1="C20" r2="C21"/>
        <v>1097.6531685219948</v>
      </c>
      <c r="G19" s="27">
        <v>968.42094001108705</v>
      </c>
      <c r="H19" s="27">
        <v>877.10496878581694</v>
      </c>
      <c r="I19" s="27">
        <v>809.15326987735841</v>
      </c>
      <c r="J19" s="27">
        <v>756.61585418260131</v>
      </c>
    </row>
    <row r="20" spans="1:10" x14ac:dyDescent="0.3">
      <c r="B20" t="s">
        <v>14</v>
      </c>
      <c r="C20" s="28">
        <f>C15</f>
        <v>0.15013437239055713</v>
      </c>
      <c r="E20" s="26">
        <f>E21-2%</f>
        <v>3.3799999999999997E-2</v>
      </c>
      <c r="F20" s="27">
        <v>1294.6044203057761</v>
      </c>
      <c r="G20" s="29">
        <v>1097.6531685219948</v>
      </c>
      <c r="H20" s="29">
        <v>968.42094001108717</v>
      </c>
      <c r="I20" s="29">
        <v>877.10496878581694</v>
      </c>
      <c r="J20" s="27">
        <v>809.15326987735841</v>
      </c>
    </row>
    <row r="21" spans="1:10" x14ac:dyDescent="0.3">
      <c r="B21" t="s">
        <v>18</v>
      </c>
      <c r="C21" s="28">
        <f>C14</f>
        <v>5.3800000000000001E-2</v>
      </c>
      <c r="E21" s="26">
        <f>C14</f>
        <v>5.3800000000000001E-2</v>
      </c>
      <c r="F21" s="27">
        <v>1631.4001353727197</v>
      </c>
      <c r="G21" s="29">
        <v>1294.6044203057761</v>
      </c>
      <c r="H21" s="30">
        <v>1097.653168521995</v>
      </c>
      <c r="I21" s="29">
        <v>968.42094001108717</v>
      </c>
      <c r="J21" s="27">
        <v>877.10496878581694</v>
      </c>
    </row>
    <row r="22" spans="1:10" ht="15" customHeight="1" x14ac:dyDescent="0.3">
      <c r="B22" s="12" t="s">
        <v>19</v>
      </c>
      <c r="C22" s="12">
        <f>C19/(C20-C21)</f>
        <v>22215.162404701699</v>
      </c>
      <c r="E22" s="26">
        <f>E21+2%</f>
        <v>7.3800000000000004E-2</v>
      </c>
      <c r="F22" s="27">
        <v>2338.969520557574</v>
      </c>
      <c r="G22" s="29">
        <v>1631.4001353727197</v>
      </c>
      <c r="H22" s="29">
        <v>1294.6044203057763</v>
      </c>
      <c r="I22" s="29">
        <v>1097.6531685219952</v>
      </c>
      <c r="J22" s="27">
        <v>968.42094001108728</v>
      </c>
    </row>
    <row r="23" spans="1:10" x14ac:dyDescent="0.3">
      <c r="E23" s="26">
        <f>E22+2%</f>
        <v>9.3800000000000008E-2</v>
      </c>
      <c r="F23" s="27">
        <v>4779.2516620498527</v>
      </c>
      <c r="G23" s="27">
        <v>2338.969520557574</v>
      </c>
      <c r="H23" s="27">
        <v>1631.4001353727201</v>
      </c>
      <c r="I23" s="27">
        <v>1294.6044203057766</v>
      </c>
      <c r="J23" s="27">
        <v>1097.6531685219952</v>
      </c>
    </row>
    <row r="24" spans="1:10" x14ac:dyDescent="0.3">
      <c r="A24" t="s">
        <v>0</v>
      </c>
      <c r="B24" s="1" t="s">
        <v>20</v>
      </c>
      <c r="C24" s="22"/>
    </row>
    <row r="26" spans="1:10" x14ac:dyDescent="0.3">
      <c r="B26" t="s">
        <v>9</v>
      </c>
      <c r="C26" s="9">
        <f>SUM(D11:H11)</f>
        <v>4373.0247119315136</v>
      </c>
    </row>
    <row r="27" spans="1:10" x14ac:dyDescent="0.3">
      <c r="B27" t="s">
        <v>21</v>
      </c>
      <c r="C27">
        <f>C22*H10</f>
        <v>11838.069083241717</v>
      </c>
    </row>
    <row r="28" spans="1:10" x14ac:dyDescent="0.3">
      <c r="B28" s="20" t="s">
        <v>22</v>
      </c>
      <c r="C28" s="31">
        <f>SUM(C26:C27)</f>
        <v>16211.09379517323</v>
      </c>
    </row>
    <row r="30" spans="1:10" x14ac:dyDescent="0.3">
      <c r="B30" t="s">
        <v>23</v>
      </c>
      <c r="C30" s="32">
        <f>'Data Sheet'!K69</f>
        <v>1218.25</v>
      </c>
    </row>
    <row r="31" spans="1:10" x14ac:dyDescent="0.3">
      <c r="B31" t="s">
        <v>24</v>
      </c>
      <c r="C31" s="32">
        <f>SUM('Raw FS'!N7:N8)</f>
        <v>143.24</v>
      </c>
    </row>
    <row r="32" spans="1:10" x14ac:dyDescent="0.3">
      <c r="B32" s="20" t="s">
        <v>25</v>
      </c>
      <c r="C32" s="31">
        <f>C28+C30-C31</f>
        <v>17286.103795173229</v>
      </c>
    </row>
    <row r="33" spans="1:3" x14ac:dyDescent="0.3">
      <c r="B33" t="s">
        <v>26</v>
      </c>
      <c r="C33" s="5">
        <f>'Data Sheet'!B6</f>
        <v>15.748238415281216</v>
      </c>
    </row>
    <row r="35" spans="1:3" x14ac:dyDescent="0.3">
      <c r="A35" t="s">
        <v>0</v>
      </c>
      <c r="B35" s="20" t="s">
        <v>27</v>
      </c>
      <c r="C35" s="31">
        <f>C32/C33</f>
        <v>1097.653168521995</v>
      </c>
    </row>
    <row r="36" spans="1:3" x14ac:dyDescent="0.3">
      <c r="B36" t="s">
        <v>28</v>
      </c>
      <c r="C36" s="33">
        <f>'Raw Beta Peers'!D6</f>
        <v>5654</v>
      </c>
    </row>
    <row r="37" spans="1:3" x14ac:dyDescent="0.3">
      <c r="B37" t="s">
        <v>29</v>
      </c>
      <c r="C37" s="34">
        <f>C36/C35</f>
        <v>5.1509895494705207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J33"/>
  <sheetViews>
    <sheetView showGridLines="0" zoomScale="115" zoomScaleNormal="115" workbookViewId="0">
      <selection activeCell="D9" sqref="D9"/>
    </sheetView>
  </sheetViews>
  <sheetFormatPr defaultColWidth="8.6640625" defaultRowHeight="14.4" x14ac:dyDescent="0.3"/>
  <cols>
    <col min="1" max="1" width="1.88671875" customWidth="1"/>
    <col min="2" max="2" width="19.88671875" customWidth="1"/>
    <col min="3" max="3" width="10.33203125" customWidth="1"/>
    <col min="4" max="4" width="10.109375" customWidth="1"/>
    <col min="5" max="5" width="11.44140625" customWidth="1"/>
    <col min="6" max="6" width="10.88671875" customWidth="1"/>
    <col min="7" max="9" width="9.33203125" customWidth="1"/>
    <col min="10" max="10" width="10.33203125" customWidth="1"/>
    <col min="14" max="14" width="16.5546875" customWidth="1"/>
    <col min="15" max="15" width="9.88671875" customWidth="1"/>
    <col min="16" max="16" width="6.5546875" customWidth="1"/>
  </cols>
  <sheetData>
    <row r="2" spans="2:10" ht="18" customHeight="1" x14ac:dyDescent="0.35">
      <c r="B2" s="162" t="s">
        <v>30</v>
      </c>
      <c r="C2" s="162"/>
      <c r="D2" s="162"/>
      <c r="E2" s="162"/>
      <c r="F2" s="162"/>
      <c r="G2" s="162"/>
      <c r="H2" s="162"/>
      <c r="I2" s="162"/>
      <c r="J2" s="162"/>
    </row>
    <row r="3" spans="2:10" ht="18" customHeight="1" x14ac:dyDescent="0.35">
      <c r="B3" s="35"/>
      <c r="C3" s="36"/>
      <c r="D3" s="36"/>
      <c r="E3" s="36"/>
      <c r="F3" s="37"/>
      <c r="G3" s="37"/>
      <c r="H3" s="37"/>
      <c r="I3" s="37"/>
      <c r="J3" s="37"/>
    </row>
    <row r="4" spans="2:10" ht="18" customHeight="1" x14ac:dyDescent="0.35">
      <c r="B4" s="163" t="s">
        <v>31</v>
      </c>
      <c r="C4" s="163"/>
      <c r="D4" s="163"/>
      <c r="E4" s="163"/>
      <c r="F4" s="163"/>
      <c r="G4" s="163"/>
      <c r="H4" s="163"/>
      <c r="I4" s="163"/>
      <c r="J4" s="163"/>
    </row>
    <row r="5" spans="2:10" ht="13.5" customHeight="1" x14ac:dyDescent="0.3">
      <c r="B5" s="38"/>
      <c r="C5" s="38"/>
      <c r="D5" s="38"/>
      <c r="E5" s="38"/>
      <c r="F5" s="39"/>
      <c r="G5" s="39" t="s">
        <v>32</v>
      </c>
      <c r="H5" s="39" t="s">
        <v>32</v>
      </c>
      <c r="I5" s="39" t="s">
        <v>33</v>
      </c>
      <c r="J5" s="39" t="s">
        <v>34</v>
      </c>
    </row>
    <row r="6" spans="2:10" ht="18.75" customHeight="1" x14ac:dyDescent="0.3">
      <c r="B6" s="40" t="s">
        <v>35</v>
      </c>
      <c r="C6" s="40" t="s">
        <v>36</v>
      </c>
      <c r="D6" s="41" t="s">
        <v>37</v>
      </c>
      <c r="E6" s="41" t="s">
        <v>38</v>
      </c>
      <c r="F6" s="41" t="s">
        <v>39</v>
      </c>
      <c r="G6" s="41" t="s">
        <v>40</v>
      </c>
      <c r="H6" s="41" t="s">
        <v>41</v>
      </c>
      <c r="I6" s="41" t="s">
        <v>42</v>
      </c>
      <c r="J6" s="41" t="s">
        <v>42</v>
      </c>
    </row>
    <row r="7" spans="2:10" x14ac:dyDescent="0.3">
      <c r="B7" s="32" t="str">
        <f>'Raw Beta Peers'!C4</f>
        <v>LTM</v>
      </c>
      <c r="C7" s="16" t="s">
        <v>43</v>
      </c>
      <c r="D7" s="42">
        <f>'Raw Beta Peers'!F4</f>
        <v>2310</v>
      </c>
      <c r="E7" s="42">
        <f>'Raw Beta Peers'!E4</f>
        <v>131820.63</v>
      </c>
      <c r="F7" s="43">
        <v>0.3</v>
      </c>
      <c r="G7" s="44">
        <f>D7/E7</f>
        <v>1.7523812471538027E-2</v>
      </c>
      <c r="H7" s="44">
        <f>D7/(D7+E7)</f>
        <v>1.7222017073952458E-2</v>
      </c>
      <c r="I7" s="45">
        <f>'Raw Beta Peers'!H4</f>
        <v>1.1599999999999999</v>
      </c>
      <c r="J7" s="46">
        <f>I7/(1+(1-F7)*G7)</f>
        <v>1.1459430956619958</v>
      </c>
    </row>
    <row r="8" spans="2:10" x14ac:dyDescent="0.3">
      <c r="B8" s="32" t="str">
        <f>'Raw Beta Peers'!C5</f>
        <v>Oracle Fin. Serv.</v>
      </c>
      <c r="C8" s="16" t="s">
        <v>43</v>
      </c>
      <c r="D8" s="42">
        <f>'Raw Beta Peers'!F5</f>
        <v>32.5</v>
      </c>
      <c r="E8" s="42">
        <f>'Raw Beta Peers'!E5</f>
        <v>103353.1</v>
      </c>
      <c r="F8" s="43">
        <v>0.3</v>
      </c>
      <c r="G8" s="47">
        <f>D8/E8</f>
        <v>3.1445597664704785E-4</v>
      </c>
      <c r="H8" s="47">
        <f>D8/(D8+E8)</f>
        <v>3.1435712517023645E-4</v>
      </c>
      <c r="I8" s="45">
        <f>'Raw Beta Peers'!H5</f>
        <v>1.02</v>
      </c>
      <c r="J8" s="46">
        <f>I8/(1+(1-F8)*G8)</f>
        <v>1.0197755278433021</v>
      </c>
    </row>
    <row r="9" spans="2:10" x14ac:dyDescent="0.3">
      <c r="B9" s="48" t="str">
        <f>'Raw Beta Peers'!C6</f>
        <v>Persistent Systems</v>
      </c>
      <c r="C9" s="49" t="s">
        <v>43</v>
      </c>
      <c r="D9" s="50">
        <f>'Raw Beta Peers'!F6</f>
        <v>477.45</v>
      </c>
      <c r="E9" s="50">
        <f>'Raw Beta Peers'!E6</f>
        <v>89040.54</v>
      </c>
      <c r="F9" s="51">
        <v>0.3</v>
      </c>
      <c r="G9" s="52">
        <f>D9/E9</f>
        <v>5.3621642456346289E-3</v>
      </c>
      <c r="H9" s="52">
        <f>D9/(D9+E9)</f>
        <v>5.3335647951880958E-3</v>
      </c>
      <c r="I9" s="53">
        <f>'Raw Beta Peers'!H6</f>
        <v>1.0900000000000001</v>
      </c>
      <c r="J9" s="54">
        <f>I9/(1+(1-F9)*G9)</f>
        <v>1.0859239681272412</v>
      </c>
    </row>
    <row r="10" spans="2:10" x14ac:dyDescent="0.3">
      <c r="B10" s="32" t="str">
        <f>'Raw Beta Peers'!C7</f>
        <v>Coforge</v>
      </c>
      <c r="C10" s="16" t="s">
        <v>43</v>
      </c>
      <c r="D10" s="42">
        <f>'Raw Beta Peers'!F7</f>
        <v>727.8</v>
      </c>
      <c r="E10" s="42">
        <f>'Raw Beta Peers'!E7</f>
        <v>84234.62</v>
      </c>
      <c r="F10" s="43">
        <v>0.3</v>
      </c>
      <c r="G10" s="47">
        <f>D10/E10</f>
        <v>8.6401529442407411E-3</v>
      </c>
      <c r="H10" s="47">
        <f>D10/(D10+E10)</f>
        <v>8.5661401829185187E-3</v>
      </c>
      <c r="I10" s="45">
        <f>'Raw Beta Peers'!H7</f>
        <v>1.1399999999999999</v>
      </c>
      <c r="J10" s="46">
        <f>I10/(1+(1-F10)*G10)</f>
        <v>1.1331466079990482</v>
      </c>
    </row>
    <row r="11" spans="2:10" x14ac:dyDescent="0.3">
      <c r="B11" s="32" t="str">
        <f>'Raw Beta Peers'!C8</f>
        <v>Mphasis</v>
      </c>
      <c r="C11" s="16" t="s">
        <v>43</v>
      </c>
      <c r="D11" s="42">
        <f>'Raw Beta Peers'!F8</f>
        <v>2619.6799999999998</v>
      </c>
      <c r="E11" s="42">
        <f>'Raw Beta Peers'!E8</f>
        <v>46088.08</v>
      </c>
      <c r="F11" s="43">
        <v>0.3</v>
      </c>
      <c r="G11" s="47">
        <f>D11/E11</f>
        <v>5.6840727580754064E-2</v>
      </c>
      <c r="H11" s="47">
        <f>D11/(D11+E11)</f>
        <v>5.3783627085294002E-2</v>
      </c>
      <c r="I11" s="45">
        <f>'Raw Beta Peers'!H8</f>
        <v>1.32</v>
      </c>
      <c r="J11" s="46">
        <f>I11/(1+(1-F11)*G11)</f>
        <v>1.269488927974743</v>
      </c>
    </row>
    <row r="12" spans="2:10" x14ac:dyDescent="0.3">
      <c r="E12" s="42"/>
      <c r="F12" s="28"/>
    </row>
    <row r="13" spans="2:10" x14ac:dyDescent="0.3">
      <c r="E13" s="55" t="s">
        <v>44</v>
      </c>
      <c r="F13" s="56">
        <f>AVERAGE(F7:F11)</f>
        <v>0.3</v>
      </c>
      <c r="G13" s="56">
        <f>AVERAGE(G7:G11)</f>
        <v>1.77362626437629E-2</v>
      </c>
      <c r="H13" s="56">
        <f>AVERAGE(H7:H11)</f>
        <v>1.7043941252504663E-2</v>
      </c>
      <c r="I13" s="57">
        <f>AVERAGE(I7:I11)</f>
        <v>1.1459999999999999</v>
      </c>
      <c r="J13" s="57">
        <f>AVERAGE(J7:J11)</f>
        <v>1.1308556255212661</v>
      </c>
    </row>
    <row r="14" spans="2:10" x14ac:dyDescent="0.3">
      <c r="E14" s="58" t="s">
        <v>45</v>
      </c>
      <c r="F14" s="59">
        <f>MEDIAN(F7:F11)</f>
        <v>0.3</v>
      </c>
      <c r="G14" s="59">
        <f>MEDIAN(G7:G11)</f>
        <v>8.6401529442407411E-3</v>
      </c>
      <c r="H14" s="59">
        <f>MEDIAN(H7:H11)</f>
        <v>8.5661401829185187E-3</v>
      </c>
      <c r="I14" s="60">
        <f>MEDIAN(I7:I11)</f>
        <v>1.1399999999999999</v>
      </c>
      <c r="J14" s="60">
        <f>MEDIAN(J7:J11)</f>
        <v>1.1331466079990482</v>
      </c>
    </row>
    <row r="15" spans="2:10" x14ac:dyDescent="0.3">
      <c r="G15" s="46"/>
    </row>
    <row r="16" spans="2:10" x14ac:dyDescent="0.3">
      <c r="B16" s="58" t="s">
        <v>46</v>
      </c>
      <c r="C16" s="61"/>
      <c r="D16" s="61"/>
      <c r="E16" s="61"/>
      <c r="G16" s="58" t="s">
        <v>47</v>
      </c>
      <c r="H16" s="61"/>
      <c r="I16" s="61"/>
      <c r="J16" s="61"/>
    </row>
    <row r="17" spans="2:10" x14ac:dyDescent="0.3">
      <c r="B17" t="s">
        <v>48</v>
      </c>
      <c r="E17" s="62">
        <v>7.4999999999999997E-2</v>
      </c>
      <c r="G17" t="s">
        <v>49</v>
      </c>
      <c r="J17" s="63">
        <v>6.8500000000000005E-2</v>
      </c>
    </row>
    <row r="18" spans="2:10" x14ac:dyDescent="0.3">
      <c r="B18" t="s">
        <v>3</v>
      </c>
      <c r="E18" s="28">
        <f>F14</f>
        <v>0.3</v>
      </c>
      <c r="G18" t="s">
        <v>50</v>
      </c>
      <c r="J18" s="64">
        <f>Rm!G7-WACC!J17</f>
        <v>6.100334143488062E-2</v>
      </c>
    </row>
    <row r="19" spans="2:10" ht="15.75" customHeight="1" x14ac:dyDescent="0.3">
      <c r="B19" s="65" t="s">
        <v>51</v>
      </c>
      <c r="C19" s="65"/>
      <c r="D19" s="65"/>
      <c r="E19" s="66">
        <f>E17*(1-E18)</f>
        <v>5.2499999999999998E-2</v>
      </c>
      <c r="G19" t="s">
        <v>52</v>
      </c>
      <c r="J19" s="67">
        <f>J26</f>
        <v>1.4494581210340765</v>
      </c>
    </row>
    <row r="20" spans="2:10" x14ac:dyDescent="0.3">
      <c r="G20" s="65" t="s">
        <v>47</v>
      </c>
      <c r="H20" s="65"/>
      <c r="I20" s="65"/>
      <c r="J20" s="68">
        <f>J17+(J18*J19)</f>
        <v>0.15692178865300227</v>
      </c>
    </row>
    <row r="21" spans="2:10" ht="13.5" customHeight="1" x14ac:dyDescent="0.3"/>
    <row r="22" spans="2:10" x14ac:dyDescent="0.3">
      <c r="B22" s="58" t="s">
        <v>53</v>
      </c>
      <c r="C22" s="61"/>
      <c r="D22" s="61"/>
      <c r="E22" s="61"/>
      <c r="G22" s="58" t="s">
        <v>52</v>
      </c>
      <c r="H22" s="61"/>
      <c r="I22" s="61"/>
      <c r="J22" s="61"/>
    </row>
    <row r="23" spans="2:10" x14ac:dyDescent="0.3">
      <c r="D23" s="69" t="s">
        <v>54</v>
      </c>
      <c r="E23" s="69" t="s">
        <v>55</v>
      </c>
      <c r="G23" s="46" t="s">
        <v>56</v>
      </c>
      <c r="J23" s="46">
        <f>J14</f>
        <v>1.1331466079990482</v>
      </c>
    </row>
    <row r="24" spans="2:10" x14ac:dyDescent="0.3">
      <c r="B24" t="s">
        <v>37</v>
      </c>
      <c r="C24" s="70">
        <f>D9</f>
        <v>477.45</v>
      </c>
      <c r="D24" s="44">
        <f>C24/$C$26</f>
        <v>5.3335647951880958E-3</v>
      </c>
      <c r="E24" s="7">
        <v>6.5000000000000002E-2</v>
      </c>
      <c r="G24" t="s">
        <v>57</v>
      </c>
      <c r="J24" s="44">
        <f>E28</f>
        <v>6.9518716577540107E-2</v>
      </c>
    </row>
    <row r="25" spans="2:10" x14ac:dyDescent="0.3">
      <c r="B25" t="s">
        <v>58</v>
      </c>
      <c r="C25" s="70">
        <f>E9</f>
        <v>89040.54</v>
      </c>
      <c r="D25" s="44">
        <f>C25/$C$26</f>
        <v>0.99466643520481191</v>
      </c>
      <c r="E25" s="28">
        <f>E26-E24</f>
        <v>0.93500000000000005</v>
      </c>
      <c r="G25" t="s">
        <v>3</v>
      </c>
      <c r="J25" s="28">
        <f>E18</f>
        <v>0.3</v>
      </c>
    </row>
    <row r="26" spans="2:10" x14ac:dyDescent="0.3">
      <c r="B26" t="s">
        <v>59</v>
      </c>
      <c r="C26" s="65">
        <f>SUM(C24:C25)</f>
        <v>89517.989999999991</v>
      </c>
      <c r="D26" s="71">
        <f>C26/$C$26</f>
        <v>1</v>
      </c>
      <c r="E26" s="72">
        <f>D26</f>
        <v>1</v>
      </c>
      <c r="G26" s="65" t="s">
        <v>60</v>
      </c>
      <c r="H26" s="65"/>
      <c r="I26" s="65"/>
      <c r="J26" s="73">
        <f>J23*(1+(1-J24)*J25)</f>
        <v>1.4494581210340765</v>
      </c>
    </row>
    <row r="28" spans="2:10" x14ac:dyDescent="0.3">
      <c r="B28" s="20" t="s">
        <v>61</v>
      </c>
      <c r="C28" s="20"/>
      <c r="D28" s="74">
        <f>D24/D25</f>
        <v>5.3621642456346289E-3</v>
      </c>
      <c r="E28" s="74">
        <f>E24/E25</f>
        <v>6.9518716577540107E-2</v>
      </c>
      <c r="G28" s="58" t="s">
        <v>30</v>
      </c>
      <c r="H28" s="61"/>
      <c r="I28" s="61"/>
      <c r="J28" s="61"/>
    </row>
    <row r="29" spans="2:10" x14ac:dyDescent="0.3">
      <c r="B29" s="75"/>
      <c r="G29" t="s">
        <v>47</v>
      </c>
      <c r="J29" s="44">
        <f>J20</f>
        <v>0.15692178865300227</v>
      </c>
    </row>
    <row r="30" spans="2:10" x14ac:dyDescent="0.3">
      <c r="B30" s="75"/>
      <c r="G30" t="s">
        <v>62</v>
      </c>
      <c r="J30" s="28">
        <f>E25</f>
        <v>0.93500000000000005</v>
      </c>
    </row>
    <row r="31" spans="2:10" x14ac:dyDescent="0.3">
      <c r="B31" s="75"/>
      <c r="G31" t="s">
        <v>46</v>
      </c>
      <c r="J31" s="28">
        <f>E19</f>
        <v>5.2499999999999998E-2</v>
      </c>
    </row>
    <row r="32" spans="2:10" x14ac:dyDescent="0.3">
      <c r="G32" t="s">
        <v>63</v>
      </c>
      <c r="J32" s="28">
        <f>E24</f>
        <v>6.5000000000000002E-2</v>
      </c>
    </row>
    <row r="33" spans="7:10" x14ac:dyDescent="0.3">
      <c r="G33" s="76" t="s">
        <v>14</v>
      </c>
      <c r="H33" s="76"/>
      <c r="I33" s="76"/>
      <c r="J33" s="77">
        <f>(J29*J30)+(J31*J32)</f>
        <v>0.15013437239055713</v>
      </c>
    </row>
  </sheetData>
  <mergeCells count="2">
    <mergeCell ref="B2:J2"/>
    <mergeCell ref="B4:J4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30"/>
  <sheetViews>
    <sheetView showGridLines="0" zoomScale="160" zoomScaleNormal="160" workbookViewId="0">
      <selection activeCell="E5" sqref="E5"/>
    </sheetView>
  </sheetViews>
  <sheetFormatPr defaultColWidth="8.6640625" defaultRowHeight="14.4" x14ac:dyDescent="0.3"/>
  <cols>
    <col min="1" max="1" width="1.88671875" customWidth="1"/>
  </cols>
  <sheetData>
    <row r="2" spans="2:22" x14ac:dyDescent="0.3">
      <c r="B2" s="164" t="s">
        <v>64</v>
      </c>
      <c r="C2" s="164"/>
      <c r="D2" s="164"/>
      <c r="E2" s="164"/>
      <c r="F2" s="164"/>
      <c r="G2" s="164"/>
    </row>
    <row r="3" spans="2:22" x14ac:dyDescent="0.3">
      <c r="F3" s="78" t="s">
        <v>65</v>
      </c>
      <c r="G3" s="78"/>
    </row>
    <row r="4" spans="2:22" x14ac:dyDescent="0.3">
      <c r="B4" s="79" t="s">
        <v>66</v>
      </c>
      <c r="C4" s="80" t="s">
        <v>67</v>
      </c>
      <c r="D4" t="s">
        <v>68</v>
      </c>
    </row>
    <row r="5" spans="2:22" x14ac:dyDescent="0.3">
      <c r="B5">
        <v>2000</v>
      </c>
      <c r="C5" s="44">
        <v>-0.14649999999999999</v>
      </c>
      <c r="D5" s="81">
        <f t="shared" ref="D5:D30" si="0">1+C5</f>
        <v>0.85350000000000004</v>
      </c>
      <c r="E5" t="s">
        <v>69</v>
      </c>
      <c r="G5" s="28">
        <f>GEOMEAN(D5:D30)-1</f>
        <v>0.11650334143488061</v>
      </c>
      <c r="K5" s="44"/>
      <c r="L5" s="28"/>
      <c r="M5" s="28"/>
      <c r="N5" s="28"/>
      <c r="O5" s="28"/>
      <c r="P5" s="28"/>
      <c r="Q5" s="28"/>
    </row>
    <row r="6" spans="2:22" x14ac:dyDescent="0.3">
      <c r="B6">
        <v>2001</v>
      </c>
      <c r="C6" s="44">
        <v>-0.1618</v>
      </c>
      <c r="D6" s="81">
        <f t="shared" si="0"/>
        <v>0.83820000000000006</v>
      </c>
      <c r="E6" t="s">
        <v>70</v>
      </c>
      <c r="G6" s="64">
        <v>1.2999999999999999E-2</v>
      </c>
      <c r="K6" s="44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spans="2:22" x14ac:dyDescent="0.3">
      <c r="B7">
        <v>2002</v>
      </c>
      <c r="C7" s="44">
        <v>3.2500000000000001E-2</v>
      </c>
      <c r="D7" s="81">
        <f t="shared" si="0"/>
        <v>1.0325</v>
      </c>
      <c r="E7" s="82" t="s">
        <v>71</v>
      </c>
      <c r="F7" s="82"/>
      <c r="G7" s="74">
        <f>SUM(G5:G6)</f>
        <v>0.12950334143488063</v>
      </c>
      <c r="K7" s="44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2:22" x14ac:dyDescent="0.3">
      <c r="B8">
        <v>2003</v>
      </c>
      <c r="C8" s="44">
        <v>0.71899999999999997</v>
      </c>
      <c r="D8" s="81">
        <f t="shared" si="0"/>
        <v>1.7189999999999999</v>
      </c>
      <c r="K8" s="44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2:22" x14ac:dyDescent="0.3">
      <c r="B9">
        <v>2004</v>
      </c>
      <c r="C9" s="44">
        <v>0.10680000000000001</v>
      </c>
      <c r="D9" s="81">
        <f t="shared" si="0"/>
        <v>1.1068</v>
      </c>
      <c r="K9" s="44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 spans="2:22" x14ac:dyDescent="0.3">
      <c r="B10">
        <v>2005</v>
      </c>
      <c r="C10" s="44">
        <v>0.3634</v>
      </c>
      <c r="D10" s="81">
        <f t="shared" si="0"/>
        <v>1.3633999999999999</v>
      </c>
      <c r="K10" s="44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2:22" x14ac:dyDescent="0.3">
      <c r="B11">
        <v>2006</v>
      </c>
      <c r="C11" s="44">
        <v>0.39829999999999999</v>
      </c>
      <c r="D11" s="81">
        <f t="shared" si="0"/>
        <v>1.3982999999999999</v>
      </c>
      <c r="K11" s="44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2:22" x14ac:dyDescent="0.3">
      <c r="B12">
        <v>2007</v>
      </c>
      <c r="C12" s="44">
        <v>0.54769999999999996</v>
      </c>
      <c r="D12" s="81">
        <f t="shared" si="0"/>
        <v>1.5476999999999999</v>
      </c>
      <c r="K12" s="44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3" spans="2:22" x14ac:dyDescent="0.3">
      <c r="B13">
        <v>2008</v>
      </c>
      <c r="C13" s="44">
        <v>-0.51790000000000003</v>
      </c>
      <c r="D13" s="81">
        <f t="shared" si="0"/>
        <v>0.48209999999999997</v>
      </c>
      <c r="K13" s="44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 spans="2:22" x14ac:dyDescent="0.3">
      <c r="B14">
        <v>2009</v>
      </c>
      <c r="C14" s="44">
        <v>0.75760000000000005</v>
      </c>
      <c r="D14" s="81">
        <f t="shared" si="0"/>
        <v>1.7576000000000001</v>
      </c>
      <c r="K14" s="44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 spans="2:22" x14ac:dyDescent="0.3">
      <c r="B15">
        <v>2010</v>
      </c>
      <c r="C15" s="44">
        <v>0.17949999999999999</v>
      </c>
      <c r="D15" s="81">
        <f t="shared" si="0"/>
        <v>1.1795</v>
      </c>
      <c r="K15" s="44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 spans="2:22" x14ac:dyDescent="0.3">
      <c r="B16">
        <v>2011</v>
      </c>
      <c r="C16" s="44">
        <v>-0.2462</v>
      </c>
      <c r="D16" s="81">
        <f t="shared" si="0"/>
        <v>0.75380000000000003</v>
      </c>
      <c r="K16" s="44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r="17" spans="2:22" x14ac:dyDescent="0.3">
      <c r="B17">
        <v>2012</v>
      </c>
      <c r="C17" s="44">
        <v>0.27700000000000002</v>
      </c>
      <c r="D17" s="81">
        <f t="shared" si="0"/>
        <v>1.2770000000000001</v>
      </c>
      <c r="K17" s="44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</row>
    <row r="18" spans="2:22" x14ac:dyDescent="0.3">
      <c r="B18">
        <v>2013</v>
      </c>
      <c r="C18" s="44">
        <v>6.7599999999999993E-2</v>
      </c>
      <c r="D18" s="81">
        <f t="shared" si="0"/>
        <v>1.0676000000000001</v>
      </c>
      <c r="K18" s="44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 spans="2:22" x14ac:dyDescent="0.3">
      <c r="B19">
        <v>2014</v>
      </c>
      <c r="C19" s="44">
        <v>0.31390000000000001</v>
      </c>
      <c r="D19" s="81">
        <f t="shared" si="0"/>
        <v>1.3139000000000001</v>
      </c>
      <c r="K19" s="44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</row>
    <row r="20" spans="2:22" x14ac:dyDescent="0.3">
      <c r="B20">
        <v>2015</v>
      </c>
      <c r="C20" s="44">
        <v>-4.0599999999999997E-2</v>
      </c>
      <c r="D20" s="81">
        <f t="shared" si="0"/>
        <v>0.95940000000000003</v>
      </c>
      <c r="K20" s="44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 spans="2:22" x14ac:dyDescent="0.3">
      <c r="B21">
        <v>2016</v>
      </c>
      <c r="C21" s="44">
        <v>3.0099999999999998E-2</v>
      </c>
      <c r="D21" s="81">
        <f t="shared" si="0"/>
        <v>1.0301</v>
      </c>
      <c r="K21" s="44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spans="2:22" x14ac:dyDescent="0.3">
      <c r="B22">
        <v>2017</v>
      </c>
      <c r="C22" s="44">
        <v>0.28649999999999998</v>
      </c>
      <c r="D22" s="81">
        <f t="shared" si="0"/>
        <v>1.2865</v>
      </c>
      <c r="K22" s="44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2:22" x14ac:dyDescent="0.3">
      <c r="B23">
        <v>2018</v>
      </c>
      <c r="C23" s="44">
        <v>3.15E-2</v>
      </c>
      <c r="D23" s="81">
        <f t="shared" si="0"/>
        <v>1.0315000000000001</v>
      </c>
      <c r="K23" s="44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2:22" x14ac:dyDescent="0.3">
      <c r="B24">
        <v>2019</v>
      </c>
      <c r="C24" s="44">
        <v>0.1202</v>
      </c>
      <c r="D24" s="81">
        <f t="shared" si="0"/>
        <v>1.1202000000000001</v>
      </c>
      <c r="K24" s="44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2:22" x14ac:dyDescent="0.3">
      <c r="B25">
        <v>2020</v>
      </c>
      <c r="C25" s="44">
        <v>0.14899999999999999</v>
      </c>
      <c r="D25" s="81">
        <f t="shared" si="0"/>
        <v>1.149</v>
      </c>
      <c r="K25" s="44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2:22" x14ac:dyDescent="0.3">
      <c r="B26">
        <v>2021</v>
      </c>
      <c r="C26" s="44">
        <v>0.2412</v>
      </c>
      <c r="D26" s="81">
        <f t="shared" si="0"/>
        <v>1.2412000000000001</v>
      </c>
      <c r="K26" s="44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2:22" x14ac:dyDescent="0.3">
      <c r="B27">
        <v>2022</v>
      </c>
      <c r="C27" s="44">
        <v>4.3200000000000002E-2</v>
      </c>
      <c r="D27" s="81">
        <f t="shared" si="0"/>
        <v>1.0431999999999999</v>
      </c>
      <c r="K27" s="44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2:22" x14ac:dyDescent="0.3">
      <c r="B28">
        <v>2023</v>
      </c>
      <c r="C28" s="44">
        <v>0.19420000000000001</v>
      </c>
      <c r="D28" s="81">
        <f t="shared" si="0"/>
        <v>1.1941999999999999</v>
      </c>
      <c r="K28" s="44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2:22" x14ac:dyDescent="0.3">
      <c r="B29">
        <v>2024</v>
      </c>
      <c r="C29" s="44">
        <v>8.7499999999999994E-2</v>
      </c>
      <c r="D29" s="81">
        <f t="shared" si="0"/>
        <v>1.0874999999999999</v>
      </c>
      <c r="K29" s="44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2:22" x14ac:dyDescent="0.3">
      <c r="B30">
        <v>2025</v>
      </c>
      <c r="C30" s="44">
        <v>0.1051</v>
      </c>
      <c r="D30" s="81">
        <f t="shared" si="0"/>
        <v>1.1051</v>
      </c>
      <c r="K30" s="44"/>
    </row>
  </sheetData>
  <mergeCells count="1">
    <mergeCell ref="B2:G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62"/>
  <sheetViews>
    <sheetView showGridLines="0" zoomScale="145" zoomScaleNormal="145" workbookViewId="0">
      <pane ySplit="2" topLeftCell="A55" activePane="bottomLeft" state="frozen"/>
      <selection pane="bottomLeft" activeCell="J61" sqref="J61"/>
    </sheetView>
  </sheetViews>
  <sheetFormatPr defaultColWidth="8.6640625" defaultRowHeight="14.4" x14ac:dyDescent="0.3"/>
  <cols>
    <col min="1" max="1" width="1.88671875" customWidth="1"/>
    <col min="7" max="7" width="11.5546875" customWidth="1"/>
    <col min="8" max="8" width="8.5546875" customWidth="1"/>
    <col min="9" max="9" width="12.109375" customWidth="1"/>
    <col min="10" max="10" width="14.21875" customWidth="1"/>
    <col min="11" max="11" width="10.109375" customWidth="1"/>
    <col min="13" max="13" width="21" customWidth="1"/>
  </cols>
  <sheetData>
    <row r="2" spans="1:11" x14ac:dyDescent="0.3">
      <c r="A2" t="s">
        <v>0</v>
      </c>
      <c r="B2" s="1" t="s">
        <v>72</v>
      </c>
      <c r="C2" s="83"/>
      <c r="D2" s="83"/>
      <c r="E2" s="83"/>
      <c r="F2" s="84">
        <f>'Raw FS'!I$2</f>
        <v>44256</v>
      </c>
      <c r="G2" s="84">
        <f>'Raw FS'!J$2</f>
        <v>44621</v>
      </c>
      <c r="H2" s="84">
        <f>'Raw FS'!K$2</f>
        <v>44986</v>
      </c>
      <c r="I2" s="84">
        <f>'Raw FS'!L$2</f>
        <v>45352</v>
      </c>
      <c r="J2" s="84">
        <f>'Raw FS'!M$2</f>
        <v>45717</v>
      </c>
      <c r="K2" s="84">
        <f>'Raw FS'!N$2</f>
        <v>46082</v>
      </c>
    </row>
    <row r="3" spans="1:11" x14ac:dyDescent="0.3">
      <c r="B3" s="20" t="s">
        <v>73</v>
      </c>
    </row>
    <row r="4" spans="1:11" x14ac:dyDescent="0.3">
      <c r="B4" s="85" t="str">
        <f>'Raw FS'!B35</f>
        <v>Inventories</v>
      </c>
      <c r="C4" s="85"/>
      <c r="D4" s="85"/>
      <c r="E4" s="85"/>
      <c r="F4" s="86">
        <f>'Raw FS'!I35</f>
        <v>0</v>
      </c>
      <c r="G4" s="86">
        <f>'Raw FS'!J35</f>
        <v>0</v>
      </c>
      <c r="H4" s="86">
        <f>'Raw FS'!K35</f>
        <v>0</v>
      </c>
      <c r="I4" s="86">
        <f>'Raw FS'!L35</f>
        <v>0</v>
      </c>
      <c r="J4" s="86">
        <f>'Raw FS'!M35</f>
        <v>0</v>
      </c>
      <c r="K4" s="86">
        <f>'Raw FS'!N35</f>
        <v>0</v>
      </c>
    </row>
    <row r="5" spans="1:11" x14ac:dyDescent="0.3">
      <c r="B5" s="85" t="str">
        <f>'Raw FS'!B36</f>
        <v>Trade receivables +</v>
      </c>
      <c r="C5" s="85"/>
      <c r="D5" s="85"/>
      <c r="E5" s="85"/>
      <c r="F5" s="86">
        <f>'Raw FS'!I36</f>
        <v>570.9</v>
      </c>
      <c r="G5" s="86">
        <f>'Raw FS'!J36</f>
        <v>948.43</v>
      </c>
      <c r="H5" s="86">
        <f>'Raw FS'!K36</f>
        <v>1570.46</v>
      </c>
      <c r="I5" s="86">
        <f>'Raw FS'!L36</f>
        <v>1676.11</v>
      </c>
      <c r="J5" s="86">
        <f>'Raw FS'!M36</f>
        <v>2679.17</v>
      </c>
      <c r="K5" s="86">
        <f>'Raw FS'!N36</f>
        <v>3334.39</v>
      </c>
    </row>
    <row r="6" spans="1:11" x14ac:dyDescent="0.3">
      <c r="B6" s="85" t="str">
        <f>'Raw FS'!B38</f>
        <v>Loans n Advances</v>
      </c>
      <c r="C6" s="85"/>
      <c r="D6" s="85"/>
      <c r="E6" s="85"/>
      <c r="F6" s="86">
        <f>'Raw FS'!I38</f>
        <v>77.400000000000006</v>
      </c>
      <c r="G6" s="86">
        <f>'Raw FS'!J38</f>
        <v>131.16999999999999</v>
      </c>
      <c r="H6" s="86">
        <f>'Raw FS'!K38</f>
        <v>137.80000000000001</v>
      </c>
      <c r="I6" s="86">
        <f>'Raw FS'!L38</f>
        <v>194.99</v>
      </c>
      <c r="J6" s="86">
        <f>'Raw FS'!M38</f>
        <v>170.18</v>
      </c>
      <c r="K6" s="86">
        <f>'Raw FS'!N38</f>
        <v>273.95</v>
      </c>
    </row>
    <row r="7" spans="1:11" x14ac:dyDescent="0.3">
      <c r="B7" t="str">
        <f>'Raw FS'!B39</f>
        <v>Other asset items</v>
      </c>
      <c r="F7" s="87">
        <f>'Raw FS'!I39</f>
        <v>567.59</v>
      </c>
      <c r="G7" s="87">
        <f>'Raw FS'!J39</f>
        <v>961.89</v>
      </c>
      <c r="H7" s="87">
        <f>'Raw FS'!K39</f>
        <v>1010.57</v>
      </c>
      <c r="I7" s="87">
        <f>'Raw FS'!L39</f>
        <v>1429.89</v>
      </c>
      <c r="J7" s="87">
        <f>'Raw FS'!M39</f>
        <v>1247.97</v>
      </c>
      <c r="K7" s="87">
        <f>'Raw FS'!N39</f>
        <v>2009</v>
      </c>
    </row>
    <row r="8" spans="1:11" x14ac:dyDescent="0.3">
      <c r="B8" s="88" t="s">
        <v>74</v>
      </c>
      <c r="C8" s="89"/>
      <c r="D8" s="89"/>
      <c r="E8" s="89"/>
      <c r="F8" s="90">
        <f t="shared" ref="F8:K8" si="0">SUM(F4:F7)</f>
        <v>1215.8899999999999</v>
      </c>
      <c r="G8" s="90">
        <f t="shared" si="0"/>
        <v>2041.4899999999998</v>
      </c>
      <c r="H8" s="90">
        <f t="shared" si="0"/>
        <v>2718.83</v>
      </c>
      <c r="I8" s="90">
        <f t="shared" si="0"/>
        <v>3300.99</v>
      </c>
      <c r="J8" s="90">
        <f t="shared" si="0"/>
        <v>4097.32</v>
      </c>
      <c r="K8" s="90">
        <f t="shared" si="0"/>
        <v>5617.34</v>
      </c>
    </row>
    <row r="9" spans="1:11" x14ac:dyDescent="0.3">
      <c r="F9" s="91"/>
      <c r="G9" s="91"/>
      <c r="H9" s="91"/>
      <c r="I9" s="91"/>
      <c r="J9" s="91"/>
      <c r="K9" s="91"/>
    </row>
    <row r="10" spans="1:11" x14ac:dyDescent="0.3">
      <c r="B10" s="20" t="s">
        <v>75</v>
      </c>
      <c r="F10" s="91"/>
      <c r="G10" s="91"/>
      <c r="H10" s="91"/>
      <c r="I10" s="91"/>
      <c r="J10" s="91"/>
      <c r="K10" s="91"/>
    </row>
    <row r="11" spans="1:11" x14ac:dyDescent="0.3">
      <c r="B11" s="85" t="str">
        <f>'Raw FS'!B13</f>
        <v>Trade Payables</v>
      </c>
      <c r="C11" s="85"/>
      <c r="D11" s="85"/>
      <c r="E11" s="85"/>
      <c r="F11" s="86">
        <f>'Raw FS'!I13</f>
        <v>293.14</v>
      </c>
      <c r="G11" s="86">
        <f>'Raw FS'!J13</f>
        <v>559.61</v>
      </c>
      <c r="H11" s="86">
        <f>'Raw FS'!K13</f>
        <v>759.51</v>
      </c>
      <c r="I11" s="86">
        <f>'Raw FS'!L13</f>
        <v>758.71</v>
      </c>
      <c r="J11" s="86">
        <f>'Raw FS'!M13</f>
        <v>794.8</v>
      </c>
      <c r="K11" s="86">
        <f>'Raw FS'!N13</f>
        <v>1150.8699999999999</v>
      </c>
    </row>
    <row r="12" spans="1:11" x14ac:dyDescent="0.3">
      <c r="B12" s="85" t="str">
        <f>'Raw FS'!B14</f>
        <v>Advance from Customers</v>
      </c>
      <c r="C12" s="85"/>
      <c r="D12" s="85"/>
      <c r="E12" s="85"/>
      <c r="F12" s="86">
        <f>'Raw FS'!I14</f>
        <v>108</v>
      </c>
      <c r="G12" s="86">
        <f>'Raw FS'!J14</f>
        <v>206.17</v>
      </c>
      <c r="H12" s="86">
        <f>'Raw FS'!K14</f>
        <v>279.82</v>
      </c>
      <c r="I12" s="86">
        <f>'Raw FS'!L14</f>
        <v>279.52999999999997</v>
      </c>
      <c r="J12" s="86">
        <f>'Raw FS'!M14</f>
        <v>292.82</v>
      </c>
      <c r="K12" s="86">
        <f>'Raw FS'!N14</f>
        <v>424.01</v>
      </c>
    </row>
    <row r="13" spans="1:11" x14ac:dyDescent="0.3">
      <c r="B13" s="85" t="str">
        <f>'Raw FS'!B15</f>
        <v>Other liability items</v>
      </c>
      <c r="C13" s="85"/>
      <c r="D13" s="85"/>
      <c r="E13" s="85"/>
      <c r="F13" s="86">
        <f>'Raw FS'!I15</f>
        <v>370.28</v>
      </c>
      <c r="G13" s="86">
        <f>'Raw FS'!J15</f>
        <v>706.87</v>
      </c>
      <c r="H13" s="86">
        <f>'Raw FS'!K15</f>
        <v>959.38</v>
      </c>
      <c r="I13" s="86">
        <f>'Raw FS'!L15</f>
        <v>958.37</v>
      </c>
      <c r="J13" s="86">
        <f>'Raw FS'!M15</f>
        <v>1003.96</v>
      </c>
      <c r="K13" s="86">
        <f>'Raw FS'!N15</f>
        <v>1453.73</v>
      </c>
    </row>
    <row r="14" spans="1:11" x14ac:dyDescent="0.3">
      <c r="B14" s="88" t="s">
        <v>76</v>
      </c>
      <c r="C14" s="89"/>
      <c r="D14" s="89"/>
      <c r="E14" s="89"/>
      <c r="F14" s="90">
        <f t="shared" ref="F14:K14" si="1">SUM(F11:F13)</f>
        <v>771.42</v>
      </c>
      <c r="G14" s="90">
        <f t="shared" si="1"/>
        <v>1472.65</v>
      </c>
      <c r="H14" s="90">
        <f t="shared" si="1"/>
        <v>1998.71</v>
      </c>
      <c r="I14" s="90">
        <f t="shared" si="1"/>
        <v>1996.6100000000001</v>
      </c>
      <c r="J14" s="90">
        <f t="shared" si="1"/>
        <v>2091.58</v>
      </c>
      <c r="K14" s="90">
        <f t="shared" si="1"/>
        <v>3028.6099999999997</v>
      </c>
    </row>
    <row r="15" spans="1:11" x14ac:dyDescent="0.3">
      <c r="F15" s="91"/>
      <c r="G15" s="91"/>
      <c r="H15" s="91"/>
      <c r="I15" s="91"/>
      <c r="J15" s="91"/>
      <c r="K15" s="91"/>
    </row>
    <row r="16" spans="1:11" ht="15" customHeight="1" x14ac:dyDescent="0.3">
      <c r="A16" t="s">
        <v>0</v>
      </c>
      <c r="B16" s="12" t="s">
        <v>77</v>
      </c>
      <c r="C16" s="12"/>
      <c r="D16" s="12"/>
      <c r="E16" s="12"/>
      <c r="F16" s="92">
        <f t="shared" ref="F16:K16" si="2">F8-F14</f>
        <v>444.46999999999991</v>
      </c>
      <c r="G16" s="92">
        <f t="shared" si="2"/>
        <v>568.83999999999969</v>
      </c>
      <c r="H16" s="92">
        <f t="shared" si="2"/>
        <v>720.11999999999989</v>
      </c>
      <c r="I16" s="92">
        <f t="shared" si="2"/>
        <v>1304.3799999999997</v>
      </c>
      <c r="J16" s="92">
        <f t="shared" si="2"/>
        <v>2005.7399999999998</v>
      </c>
      <c r="K16" s="92">
        <f t="shared" si="2"/>
        <v>2588.7300000000005</v>
      </c>
    </row>
    <row r="17" spans="1:11" x14ac:dyDescent="0.3">
      <c r="F17" s="91"/>
      <c r="G17" s="91"/>
      <c r="H17" s="91"/>
      <c r="I17" s="91"/>
      <c r="J17" s="91"/>
      <c r="K17" s="91"/>
    </row>
    <row r="18" spans="1:11" x14ac:dyDescent="0.3">
      <c r="B18" s="20" t="s">
        <v>78</v>
      </c>
      <c r="F18" s="91"/>
      <c r="G18" s="91"/>
      <c r="H18" s="91"/>
      <c r="I18" s="91"/>
      <c r="J18" s="91"/>
      <c r="K18" s="91"/>
    </row>
    <row r="19" spans="1:11" x14ac:dyDescent="0.3">
      <c r="B19" s="85" t="str">
        <f>'Raw FS'!B19</f>
        <v>Land</v>
      </c>
      <c r="C19" s="85"/>
      <c r="D19" s="85"/>
      <c r="E19" s="85"/>
      <c r="F19" s="86">
        <f>'Raw FS'!I19</f>
        <v>24.92</v>
      </c>
      <c r="G19" s="86">
        <f>'Raw FS'!J19</f>
        <v>83.65</v>
      </c>
      <c r="H19" s="86">
        <f>'Raw FS'!K19</f>
        <v>127.71</v>
      </c>
      <c r="I19" s="86">
        <f>'Raw FS'!L19</f>
        <v>121.17</v>
      </c>
      <c r="J19" s="86">
        <f>'Raw FS'!M19</f>
        <v>138.6</v>
      </c>
      <c r="K19" s="86">
        <f>'Raw FS'!N19</f>
        <v>155.78</v>
      </c>
    </row>
    <row r="20" spans="1:11" x14ac:dyDescent="0.3">
      <c r="B20" s="85" t="str">
        <f>'Raw FS'!B20</f>
        <v>Building</v>
      </c>
      <c r="C20" s="85"/>
      <c r="D20" s="85"/>
      <c r="E20" s="85"/>
      <c r="F20" s="86">
        <f>'Raw FS'!I20</f>
        <v>265.86</v>
      </c>
      <c r="G20" s="86">
        <f>'Raw FS'!J20</f>
        <v>892.26</v>
      </c>
      <c r="H20" s="86">
        <f>'Raw FS'!K20</f>
        <v>1362.23</v>
      </c>
      <c r="I20" s="86">
        <f>'Raw FS'!L20</f>
        <v>1292.49</v>
      </c>
      <c r="J20" s="86">
        <f>'Raw FS'!M20</f>
        <v>1478.45</v>
      </c>
      <c r="K20" s="86">
        <f>'Raw FS'!N20</f>
        <v>1661.66</v>
      </c>
    </row>
    <row r="21" spans="1:11" x14ac:dyDescent="0.3">
      <c r="B21" s="85" t="str">
        <f>'Raw FS'!B21</f>
        <v>Plant Machinery</v>
      </c>
      <c r="C21" s="85"/>
      <c r="D21" s="85"/>
      <c r="E21" s="85"/>
      <c r="F21" s="86">
        <f>'Raw FS'!I21</f>
        <v>232.62</v>
      </c>
      <c r="G21" s="86">
        <f>'Raw FS'!J21</f>
        <v>780.73</v>
      </c>
      <c r="H21" s="86">
        <f>'Raw FS'!K21</f>
        <v>1191.95</v>
      </c>
      <c r="I21" s="86">
        <f>'Raw FS'!L21</f>
        <v>1130.93</v>
      </c>
      <c r="J21" s="86">
        <f>'Raw FS'!M21</f>
        <v>1293.6400000000001</v>
      </c>
      <c r="K21" s="86">
        <f>'Raw FS'!N21</f>
        <v>1453.95</v>
      </c>
    </row>
    <row r="22" spans="1:11" x14ac:dyDescent="0.3">
      <c r="B22" s="85" t="str">
        <f>'Raw FS'!B22</f>
        <v>Equipments</v>
      </c>
      <c r="C22" s="85"/>
      <c r="D22" s="85"/>
      <c r="E22" s="85"/>
      <c r="F22" s="86">
        <f>'Raw FS'!I22</f>
        <v>66.459999999999994</v>
      </c>
      <c r="G22" s="86">
        <f>'Raw FS'!J22</f>
        <v>223.06</v>
      </c>
      <c r="H22" s="86">
        <f>'Raw FS'!K22</f>
        <v>340.56</v>
      </c>
      <c r="I22" s="86">
        <f>'Raw FS'!L22</f>
        <v>323.12</v>
      </c>
      <c r="J22" s="86">
        <f>'Raw FS'!M22</f>
        <v>369.61</v>
      </c>
      <c r="K22" s="86">
        <f>'Raw FS'!N22</f>
        <v>415.42</v>
      </c>
    </row>
    <row r="23" spans="1:11" x14ac:dyDescent="0.3">
      <c r="B23" s="85" t="str">
        <f>'Raw FS'!B23</f>
        <v>Furniture n fittings</v>
      </c>
      <c r="C23" s="85"/>
      <c r="D23" s="85"/>
      <c r="E23" s="85"/>
      <c r="F23" s="86">
        <f>'Raw FS'!I23</f>
        <v>74.77</v>
      </c>
      <c r="G23" s="86">
        <f>'Raw FS'!J23</f>
        <v>250.95</v>
      </c>
      <c r="H23" s="86">
        <f>'Raw FS'!K23</f>
        <v>383.13</v>
      </c>
      <c r="I23" s="86">
        <f>'Raw FS'!L23</f>
        <v>363.51</v>
      </c>
      <c r="J23" s="86">
        <f>'Raw FS'!M23</f>
        <v>415.81</v>
      </c>
      <c r="K23" s="86">
        <f>'Raw FS'!N23</f>
        <v>467.34</v>
      </c>
    </row>
    <row r="24" spans="1:11" x14ac:dyDescent="0.3">
      <c r="B24" s="85" t="str">
        <f>'Raw FS'!B24</f>
        <v>Vehicles</v>
      </c>
      <c r="C24" s="85"/>
      <c r="D24" s="85"/>
      <c r="E24" s="85"/>
      <c r="F24" s="86">
        <f>'Raw FS'!I24</f>
        <v>8.31</v>
      </c>
      <c r="G24" s="86">
        <f>'Raw FS'!J24</f>
        <v>27.88</v>
      </c>
      <c r="H24" s="86">
        <f>'Raw FS'!K24</f>
        <v>42.57</v>
      </c>
      <c r="I24" s="86">
        <f>'Raw FS'!L24</f>
        <v>40.39</v>
      </c>
      <c r="J24" s="86">
        <f>'Raw FS'!M24</f>
        <v>46.2</v>
      </c>
      <c r="K24" s="86">
        <f>'Raw FS'!N24</f>
        <v>51.93</v>
      </c>
    </row>
    <row r="25" spans="1:11" x14ac:dyDescent="0.3">
      <c r="B25" s="85" t="str">
        <f>'Raw FS'!B25</f>
        <v>Intangible Assets</v>
      </c>
      <c r="C25" s="85"/>
      <c r="D25" s="85"/>
      <c r="E25" s="85"/>
      <c r="F25" s="86">
        <f>'Raw FS'!I25</f>
        <v>99.7</v>
      </c>
      <c r="G25" s="86">
        <f>'Raw FS'!J25</f>
        <v>334.6</v>
      </c>
      <c r="H25" s="86">
        <f>'Raw FS'!K25</f>
        <v>510.84</v>
      </c>
      <c r="I25" s="86">
        <f>'Raw FS'!L25</f>
        <v>484.68</v>
      </c>
      <c r="J25" s="86">
        <f>'Raw FS'!M25</f>
        <v>554.41999999999996</v>
      </c>
      <c r="K25" s="86">
        <f>'Raw FS'!N25</f>
        <v>623.12</v>
      </c>
    </row>
    <row r="26" spans="1:11" x14ac:dyDescent="0.3">
      <c r="B26" s="85" t="str">
        <f>'Raw FS'!B26</f>
        <v>Other fixed assets</v>
      </c>
      <c r="C26" s="85"/>
      <c r="D26" s="85"/>
      <c r="E26" s="85"/>
      <c r="F26" s="86">
        <f>'Raw FS'!I26</f>
        <v>58.16</v>
      </c>
      <c r="G26" s="86">
        <f>'Raw FS'!J26</f>
        <v>195.18</v>
      </c>
      <c r="H26" s="86">
        <f>'Raw FS'!K26</f>
        <v>297.99</v>
      </c>
      <c r="I26" s="86">
        <f>'Raw FS'!L26</f>
        <v>282.73</v>
      </c>
      <c r="J26" s="86">
        <f>'Raw FS'!M26</f>
        <v>323.41000000000003</v>
      </c>
      <c r="K26" s="86">
        <f>'Raw FS'!N26</f>
        <v>363.49</v>
      </c>
    </row>
    <row r="27" spans="1:11" ht="5.25" customHeight="1" x14ac:dyDescent="0.3">
      <c r="B27" s="85"/>
      <c r="C27" s="85"/>
      <c r="D27" s="85"/>
      <c r="E27" s="85"/>
      <c r="F27" s="93"/>
      <c r="G27" s="93"/>
      <c r="H27" s="93"/>
      <c r="I27" s="93"/>
      <c r="J27" s="93"/>
      <c r="K27" s="93"/>
    </row>
    <row r="28" spans="1:11" x14ac:dyDescent="0.3">
      <c r="B28" s="88" t="s">
        <v>79</v>
      </c>
      <c r="C28" s="89"/>
      <c r="D28" s="89"/>
      <c r="E28" s="89"/>
      <c r="F28" s="90">
        <f t="shared" ref="F28:K28" si="3">SUM(F19:F27)</f>
        <v>830.80000000000007</v>
      </c>
      <c r="G28" s="90">
        <f t="shared" si="3"/>
        <v>2788.3099999999995</v>
      </c>
      <c r="H28" s="90">
        <f t="shared" si="3"/>
        <v>4256.9800000000005</v>
      </c>
      <c r="I28" s="90">
        <f t="shared" si="3"/>
        <v>4039.02</v>
      </c>
      <c r="J28" s="90">
        <f t="shared" si="3"/>
        <v>4620.1399999999994</v>
      </c>
      <c r="K28" s="90">
        <f t="shared" si="3"/>
        <v>5192.6900000000005</v>
      </c>
    </row>
    <row r="29" spans="1:11" x14ac:dyDescent="0.3">
      <c r="B29" t="s">
        <v>80</v>
      </c>
      <c r="F29" s="87">
        <f>-'Raw FS'!I28</f>
        <v>-373.86</v>
      </c>
      <c r="G29" s="87">
        <f>-'Raw FS'!J28</f>
        <v>-1254.74</v>
      </c>
      <c r="H29" s="87">
        <f>-'Raw FS'!K28</f>
        <v>-1915.63</v>
      </c>
      <c r="I29" s="87">
        <f>-'Raw FS'!L28</f>
        <v>-1817.57</v>
      </c>
      <c r="J29" s="87">
        <f>-'Raw FS'!M28</f>
        <v>-2079.0700000000002</v>
      </c>
      <c r="K29" s="87">
        <f>-'Raw FS'!N28</f>
        <v>-2336.71</v>
      </c>
    </row>
    <row r="30" spans="1:11" ht="15" customHeight="1" x14ac:dyDescent="0.3">
      <c r="A30" t="s">
        <v>0</v>
      </c>
      <c r="B30" s="12" t="s">
        <v>81</v>
      </c>
      <c r="C30" s="12"/>
      <c r="D30" s="12"/>
      <c r="E30" s="12"/>
      <c r="F30" s="92">
        <f t="shared" ref="F30:K30" si="4">SUM(F28:F29)</f>
        <v>456.94000000000005</v>
      </c>
      <c r="G30" s="92">
        <f t="shared" si="4"/>
        <v>1533.5699999999995</v>
      </c>
      <c r="H30" s="92">
        <f t="shared" si="4"/>
        <v>2341.3500000000004</v>
      </c>
      <c r="I30" s="92">
        <f t="shared" si="4"/>
        <v>2221.4499999999998</v>
      </c>
      <c r="J30" s="92">
        <f t="shared" si="4"/>
        <v>2541.0699999999993</v>
      </c>
      <c r="K30" s="92">
        <f t="shared" si="4"/>
        <v>2855.9800000000005</v>
      </c>
    </row>
    <row r="31" spans="1:11" x14ac:dyDescent="0.3">
      <c r="F31" s="91"/>
      <c r="G31" s="91"/>
      <c r="H31" s="91"/>
      <c r="I31" s="91"/>
      <c r="J31" s="91"/>
      <c r="K31" s="91"/>
    </row>
    <row r="32" spans="1:11" x14ac:dyDescent="0.3">
      <c r="A32" t="s">
        <v>0</v>
      </c>
      <c r="B32" s="20" t="s">
        <v>82</v>
      </c>
      <c r="C32" s="20"/>
      <c r="D32" s="20"/>
      <c r="E32" s="20"/>
      <c r="F32" s="94">
        <f t="shared" ref="F32:K32" si="5">F30+F16</f>
        <v>901.41</v>
      </c>
      <c r="G32" s="94">
        <f t="shared" si="5"/>
        <v>2102.4099999999989</v>
      </c>
      <c r="H32" s="94">
        <f t="shared" si="5"/>
        <v>3061.4700000000003</v>
      </c>
      <c r="I32" s="94">
        <f t="shared" si="5"/>
        <v>3525.8299999999995</v>
      </c>
      <c r="J32" s="94">
        <f t="shared" si="5"/>
        <v>4546.8099999999995</v>
      </c>
      <c r="K32" s="94">
        <f t="shared" si="5"/>
        <v>5444.7100000000009</v>
      </c>
    </row>
    <row r="33" spans="1:11" x14ac:dyDescent="0.3">
      <c r="B33" s="20" t="s">
        <v>2</v>
      </c>
      <c r="C33" s="20"/>
      <c r="D33" s="20"/>
      <c r="E33" s="20"/>
      <c r="F33" s="95">
        <f>'Data Sheet'!F34-'Data Sheet'!F26</f>
        <v>615.24</v>
      </c>
      <c r="G33" s="95">
        <f>'Data Sheet'!G34-'Data Sheet'!G26</f>
        <v>936.12000000000012</v>
      </c>
      <c r="H33" s="95">
        <f>'Data Sheet'!H34-'Data Sheet'!H26</f>
        <v>1288.1899999999996</v>
      </c>
      <c r="I33" s="95">
        <f>'Data Sheet'!I34-'Data Sheet'!I26</f>
        <v>1494.33</v>
      </c>
      <c r="J33" s="95">
        <f>'Data Sheet'!J34-'Data Sheet'!J26</f>
        <v>1889.4399999999998</v>
      </c>
      <c r="K33" s="95">
        <f>'Data Sheet'!K34-'Data Sheet'!K26</f>
        <v>2483.8999999999996</v>
      </c>
    </row>
    <row r="35" spans="1:11" ht="15" customHeight="1" x14ac:dyDescent="0.3">
      <c r="A35" t="s">
        <v>0</v>
      </c>
      <c r="B35" s="12" t="s">
        <v>83</v>
      </c>
      <c r="C35" s="96"/>
      <c r="D35" s="96"/>
      <c r="E35" s="96"/>
      <c r="F35" s="97">
        <f t="shared" ref="F35:K35" si="6">F33/F32</f>
        <v>0.68253070190035614</v>
      </c>
      <c r="G35" s="97">
        <f t="shared" si="6"/>
        <v>0.44526043921023994</v>
      </c>
      <c r="H35" s="97">
        <f t="shared" si="6"/>
        <v>0.4207749871793614</v>
      </c>
      <c r="I35" s="97">
        <f t="shared" si="6"/>
        <v>0.42382361032721377</v>
      </c>
      <c r="J35" s="97">
        <f t="shared" si="6"/>
        <v>0.4155528821305487</v>
      </c>
      <c r="K35" s="97">
        <f t="shared" si="6"/>
        <v>0.45620427901577848</v>
      </c>
    </row>
    <row r="38" spans="1:11" x14ac:dyDescent="0.3">
      <c r="A38" t="s">
        <v>0</v>
      </c>
      <c r="B38" s="1" t="s">
        <v>84</v>
      </c>
      <c r="C38" s="83"/>
      <c r="D38" s="83"/>
      <c r="E38" s="83"/>
      <c r="F38" s="84">
        <f>'Raw FS'!I$2</f>
        <v>44256</v>
      </c>
      <c r="G38" s="84">
        <f>'Raw FS'!J$2</f>
        <v>44621</v>
      </c>
      <c r="H38" s="84">
        <f>'Raw FS'!K$2</f>
        <v>44986</v>
      </c>
      <c r="I38" s="84">
        <f>'Raw FS'!L$2</f>
        <v>45352</v>
      </c>
      <c r="J38" s="84">
        <f>'Raw FS'!M$2</f>
        <v>45717</v>
      </c>
      <c r="K38" s="84">
        <f>'Raw FS'!N$2</f>
        <v>46082</v>
      </c>
    </row>
    <row r="40" spans="1:11" x14ac:dyDescent="0.3">
      <c r="B40" s="85" t="s">
        <v>85</v>
      </c>
      <c r="C40" s="85"/>
      <c r="D40" s="85"/>
      <c r="E40" s="85"/>
      <c r="F40" s="86">
        <f>-SUM('Raw FS'!I54:I55)</f>
        <v>291.45000000000005</v>
      </c>
      <c r="G40" s="86">
        <f>-SUM('Raw FS'!J54:J55)</f>
        <v>524.56999999999994</v>
      </c>
      <c r="H40" s="86">
        <f>-SUM('Raw FS'!K54:K55)</f>
        <v>206.6</v>
      </c>
      <c r="I40" s="86">
        <f>-SUM('Raw FS'!L54:L55)</f>
        <v>283.35000000000002</v>
      </c>
      <c r="J40" s="86">
        <f>-SUM('Raw FS'!M54:M55)</f>
        <v>279.08999999999997</v>
      </c>
      <c r="K40" s="86">
        <f>-SUM('Raw FS'!N54:N55)</f>
        <v>333.96999999999997</v>
      </c>
    </row>
    <row r="41" spans="1:11" x14ac:dyDescent="0.3">
      <c r="B41" s="85" t="s">
        <v>86</v>
      </c>
      <c r="C41" s="85"/>
      <c r="D41" s="85"/>
      <c r="E41" s="85"/>
      <c r="F41" s="93">
        <f t="shared" ref="F41:K41" si="7">F16-E16</f>
        <v>444.46999999999991</v>
      </c>
      <c r="G41" s="93">
        <f t="shared" si="7"/>
        <v>124.36999999999978</v>
      </c>
      <c r="H41" s="93">
        <f t="shared" si="7"/>
        <v>151.2800000000002</v>
      </c>
      <c r="I41" s="93">
        <f t="shared" si="7"/>
        <v>584.25999999999976</v>
      </c>
      <c r="J41" s="93">
        <f t="shared" si="7"/>
        <v>701.36000000000013</v>
      </c>
      <c r="K41" s="93">
        <f t="shared" si="7"/>
        <v>582.99000000000069</v>
      </c>
    </row>
    <row r="42" spans="1:11" x14ac:dyDescent="0.3">
      <c r="B42" s="85"/>
      <c r="C42" s="85"/>
      <c r="D42" s="85"/>
      <c r="E42" s="85"/>
      <c r="F42" s="93"/>
      <c r="G42" s="93"/>
      <c r="H42" s="93"/>
      <c r="I42" s="93"/>
      <c r="J42" s="93"/>
      <c r="K42" s="93"/>
    </row>
    <row r="43" spans="1:11" x14ac:dyDescent="0.3">
      <c r="B43" s="85" t="s">
        <v>2</v>
      </c>
      <c r="C43" s="85"/>
      <c r="D43" s="85"/>
      <c r="E43" s="85"/>
      <c r="F43" s="93">
        <f t="shared" ref="F43:K43" si="8">F33</f>
        <v>615.24</v>
      </c>
      <c r="G43" s="93">
        <f t="shared" si="8"/>
        <v>936.12000000000012</v>
      </c>
      <c r="H43" s="93">
        <f t="shared" si="8"/>
        <v>1288.1899999999996</v>
      </c>
      <c r="I43" s="93">
        <f t="shared" si="8"/>
        <v>1494.33</v>
      </c>
      <c r="J43" s="93">
        <f t="shared" si="8"/>
        <v>1889.4399999999998</v>
      </c>
      <c r="K43" s="93">
        <f t="shared" si="8"/>
        <v>2483.8999999999996</v>
      </c>
    </row>
    <row r="44" spans="1:11" x14ac:dyDescent="0.3">
      <c r="B44" s="85" t="s">
        <v>87</v>
      </c>
      <c r="C44" s="85"/>
      <c r="D44" s="85"/>
      <c r="E44" s="85"/>
      <c r="F44" s="98">
        <v>-0.75</v>
      </c>
      <c r="G44" s="98">
        <v>0.25</v>
      </c>
      <c r="H44" s="98">
        <v>0.25</v>
      </c>
      <c r="I44" s="98">
        <v>0.25</v>
      </c>
      <c r="J44" s="98">
        <v>0.25</v>
      </c>
      <c r="K44" s="98">
        <v>0.25</v>
      </c>
    </row>
    <row r="45" spans="1:11" x14ac:dyDescent="0.3">
      <c r="B45" s="85" t="s">
        <v>88</v>
      </c>
      <c r="C45" s="85"/>
      <c r="D45" s="85"/>
      <c r="E45" s="85"/>
      <c r="F45" s="99">
        <f t="shared" ref="F45:K45" si="9">F43*(1-F44)</f>
        <v>1076.67</v>
      </c>
      <c r="G45" s="99">
        <f t="shared" si="9"/>
        <v>702.09000000000015</v>
      </c>
      <c r="H45" s="99">
        <f t="shared" si="9"/>
        <v>966.1424999999997</v>
      </c>
      <c r="I45" s="99">
        <f t="shared" si="9"/>
        <v>1120.7474999999999</v>
      </c>
      <c r="J45" s="99">
        <f t="shared" si="9"/>
        <v>1417.08</v>
      </c>
      <c r="K45" s="99">
        <f t="shared" si="9"/>
        <v>1862.9249999999997</v>
      </c>
    </row>
    <row r="46" spans="1:11" x14ac:dyDescent="0.3">
      <c r="B46" s="85"/>
      <c r="C46" s="85"/>
      <c r="D46" s="85"/>
      <c r="E46" s="85"/>
      <c r="F46" s="93"/>
      <c r="G46" s="93"/>
      <c r="H46" s="93"/>
      <c r="I46" s="93"/>
      <c r="J46" s="93"/>
      <c r="K46" s="93"/>
    </row>
    <row r="47" spans="1:11" x14ac:dyDescent="0.3">
      <c r="B47" s="85" t="s">
        <v>89</v>
      </c>
      <c r="C47" s="85"/>
      <c r="D47" s="85"/>
      <c r="E47" s="85"/>
      <c r="F47" s="93">
        <f t="shared" ref="F47:K47" si="10">SUM(F40:F41)</f>
        <v>735.92</v>
      </c>
      <c r="G47" s="93">
        <f t="shared" si="10"/>
        <v>648.93999999999971</v>
      </c>
      <c r="H47" s="93">
        <f t="shared" si="10"/>
        <v>357.88000000000022</v>
      </c>
      <c r="I47" s="93">
        <f t="shared" si="10"/>
        <v>867.60999999999979</v>
      </c>
      <c r="J47" s="93">
        <f t="shared" si="10"/>
        <v>980.45</v>
      </c>
      <c r="K47" s="93">
        <f t="shared" si="10"/>
        <v>916.96000000000072</v>
      </c>
    </row>
    <row r="48" spans="1:11" ht="3.75" customHeight="1" x14ac:dyDescent="0.3">
      <c r="H48" s="27"/>
      <c r="I48" s="27"/>
      <c r="J48" s="27"/>
      <c r="K48" s="27"/>
    </row>
    <row r="49" spans="1:13" ht="15" customHeight="1" x14ac:dyDescent="0.3">
      <c r="B49" s="12" t="s">
        <v>90</v>
      </c>
      <c r="C49" s="12"/>
      <c r="D49" s="12"/>
      <c r="E49" s="12"/>
      <c r="F49" s="97">
        <f t="shared" ref="F49:K49" si="11">F47/F45</f>
        <v>0.68351491171853951</v>
      </c>
      <c r="G49" s="97">
        <f t="shared" si="11"/>
        <v>0.92429745474226888</v>
      </c>
      <c r="H49" s="97">
        <f t="shared" si="11"/>
        <v>0.3704215475460404</v>
      </c>
      <c r="I49" s="97">
        <f t="shared" si="11"/>
        <v>0.77413511964113224</v>
      </c>
      <c r="J49" s="97">
        <f t="shared" si="11"/>
        <v>0.69188048663448787</v>
      </c>
      <c r="K49" s="97">
        <f t="shared" si="11"/>
        <v>0.49221519921628665</v>
      </c>
    </row>
    <row r="50" spans="1:13" x14ac:dyDescent="0.3">
      <c r="H50" s="44"/>
      <c r="I50" s="44"/>
      <c r="J50" s="44"/>
      <c r="K50" s="44"/>
    </row>
    <row r="51" spans="1:13" x14ac:dyDescent="0.3">
      <c r="J51" s="100" t="s">
        <v>91</v>
      </c>
      <c r="K51" s="101">
        <f>AVERAGE(G49:K49)</f>
        <v>0.65058996155604321</v>
      </c>
    </row>
    <row r="52" spans="1:13" x14ac:dyDescent="0.3">
      <c r="J52" s="100" t="s">
        <v>92</v>
      </c>
      <c r="K52" s="101">
        <f>MEDIAN(G49:K49)</f>
        <v>0.69188048663448787</v>
      </c>
    </row>
    <row r="54" spans="1:13" x14ac:dyDescent="0.3">
      <c r="A54" t="s">
        <v>0</v>
      </c>
      <c r="B54" s="1" t="s">
        <v>93</v>
      </c>
      <c r="C54" s="83"/>
      <c r="D54" s="83"/>
      <c r="E54" s="83"/>
      <c r="F54" s="84">
        <f>'Raw FS'!I$2</f>
        <v>44256</v>
      </c>
      <c r="G54" s="84">
        <f>'Raw FS'!J$2</f>
        <v>44621</v>
      </c>
      <c r="H54" s="84">
        <f>'Raw FS'!K$2</f>
        <v>44986</v>
      </c>
      <c r="I54" s="84">
        <f>'Raw FS'!L$2</f>
        <v>45352</v>
      </c>
      <c r="J54" s="84">
        <f>'Raw FS'!M$2</f>
        <v>45717</v>
      </c>
      <c r="K54" s="84">
        <f>'Raw FS'!N$2</f>
        <v>46082</v>
      </c>
    </row>
    <row r="56" spans="1:13" x14ac:dyDescent="0.3">
      <c r="B56" s="85" t="s">
        <v>90</v>
      </c>
      <c r="C56" s="85"/>
      <c r="D56" s="85"/>
      <c r="E56" s="85"/>
      <c r="F56" s="102">
        <f t="shared" ref="F56:K56" si="12">F49</f>
        <v>0.68351491171853951</v>
      </c>
      <c r="G56" s="102">
        <f t="shared" si="12"/>
        <v>0.92429745474226888</v>
      </c>
      <c r="H56" s="102">
        <f t="shared" si="12"/>
        <v>0.3704215475460404</v>
      </c>
      <c r="I56" s="102">
        <f t="shared" si="12"/>
        <v>0.77413511964113224</v>
      </c>
      <c r="J56" s="102">
        <f t="shared" si="12"/>
        <v>0.69188048663448787</v>
      </c>
      <c r="K56" s="102">
        <f t="shared" si="12"/>
        <v>0.49221519921628665</v>
      </c>
    </row>
    <row r="57" spans="1:13" x14ac:dyDescent="0.3">
      <c r="B57" s="85" t="s">
        <v>83</v>
      </c>
      <c r="C57" s="85"/>
      <c r="D57" s="85"/>
      <c r="E57" s="85"/>
      <c r="F57" s="102">
        <f t="shared" ref="F57:K57" si="13">F35</f>
        <v>0.68253070190035614</v>
      </c>
      <c r="G57" s="102">
        <f t="shared" si="13"/>
        <v>0.44526043921023994</v>
      </c>
      <c r="H57" s="102">
        <f t="shared" si="13"/>
        <v>0.4207749871793614</v>
      </c>
      <c r="I57" s="102">
        <f t="shared" si="13"/>
        <v>0.42382361032721377</v>
      </c>
      <c r="J57" s="102">
        <f t="shared" si="13"/>
        <v>0.4155528821305487</v>
      </c>
      <c r="K57" s="102">
        <f t="shared" si="13"/>
        <v>0.45620427901577848</v>
      </c>
    </row>
    <row r="58" spans="1:13" ht="4.5" customHeight="1" x14ac:dyDescent="0.3"/>
    <row r="59" spans="1:13" ht="15" customHeight="1" x14ac:dyDescent="0.3">
      <c r="B59" s="12" t="s">
        <v>94</v>
      </c>
      <c r="C59" s="12"/>
      <c r="D59" s="12"/>
      <c r="E59" s="12"/>
      <c r="F59" s="103">
        <f t="shared" ref="F59:K59" si="14">F56*F57</f>
        <v>0.46651991245461472</v>
      </c>
      <c r="G59" s="103">
        <f t="shared" si="14"/>
        <v>0.41155309065944951</v>
      </c>
      <c r="H59" s="103">
        <f t="shared" si="14"/>
        <v>0.15586412191964436</v>
      </c>
      <c r="I59" s="103">
        <f t="shared" si="14"/>
        <v>0.32809674128739424</v>
      </c>
      <c r="J59" s="103">
        <f t="shared" si="14"/>
        <v>0.28751293031084801</v>
      </c>
      <c r="K59" s="103">
        <f t="shared" si="14"/>
        <v>0.22455068007907383</v>
      </c>
      <c r="M59" s="104"/>
    </row>
    <row r="61" spans="1:13" x14ac:dyDescent="0.3">
      <c r="J61" s="100" t="s">
        <v>91</v>
      </c>
      <c r="K61" s="101">
        <f>AVERAGE(G59:K59)</f>
        <v>0.28151551285128196</v>
      </c>
    </row>
    <row r="62" spans="1:13" x14ac:dyDescent="0.3">
      <c r="J62" s="100" t="s">
        <v>92</v>
      </c>
      <c r="K62" s="101">
        <f>MEDIAN(G59:K59)</f>
        <v>0.28751293031084801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O32"/>
  <sheetViews>
    <sheetView showGridLines="0" topLeftCell="A25" zoomScale="115" zoomScaleNormal="115" workbookViewId="0">
      <selection activeCell="C5" sqref="C5"/>
    </sheetView>
  </sheetViews>
  <sheetFormatPr defaultColWidth="8.6640625" defaultRowHeight="14.4" x14ac:dyDescent="0.3"/>
  <cols>
    <col min="1" max="1" width="1.44140625" customWidth="1"/>
    <col min="2" max="2" width="24.6640625" customWidth="1"/>
    <col min="3" max="3" width="10.33203125" bestFit="1" customWidth="1"/>
    <col min="4" max="4" width="5.77734375" customWidth="1"/>
    <col min="5" max="5" width="11.33203125" customWidth="1"/>
    <col min="6" max="6" width="8.5546875" customWidth="1"/>
    <col min="7" max="7" width="14.6640625" customWidth="1"/>
    <col min="8" max="8" width="1.88671875" customWidth="1"/>
    <col min="9" max="9" width="8.77734375" customWidth="1"/>
    <col min="10" max="11" width="8" customWidth="1"/>
    <col min="12" max="12" width="1.88671875" customWidth="1"/>
    <col min="13" max="13" width="12" customWidth="1"/>
    <col min="14" max="15" width="10.88671875" customWidth="1"/>
  </cols>
  <sheetData>
    <row r="1" spans="2:15" x14ac:dyDescent="0.3">
      <c r="B1" s="78"/>
    </row>
    <row r="2" spans="2:15" ht="15" customHeight="1" x14ac:dyDescent="0.3">
      <c r="B2" s="165" t="s">
        <v>95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</row>
    <row r="4" spans="2:15" x14ac:dyDescent="0.3">
      <c r="B4" s="23"/>
      <c r="C4" s="166" t="s">
        <v>96</v>
      </c>
      <c r="D4" s="166"/>
      <c r="E4" s="166"/>
      <c r="F4" s="166"/>
      <c r="G4" s="166"/>
      <c r="H4" s="23"/>
      <c r="I4" s="166" t="s">
        <v>97</v>
      </c>
      <c r="J4" s="166"/>
      <c r="K4" s="166"/>
      <c r="L4" s="23"/>
      <c r="M4" s="166" t="s">
        <v>98</v>
      </c>
      <c r="N4" s="166"/>
      <c r="O4" s="166"/>
    </row>
    <row r="5" spans="2:15" ht="28.5" customHeight="1" x14ac:dyDescent="0.3">
      <c r="B5" s="105" t="s">
        <v>99</v>
      </c>
      <c r="C5" s="106" t="s">
        <v>100</v>
      </c>
      <c r="D5" s="106" t="s">
        <v>101</v>
      </c>
      <c r="E5" s="106" t="s">
        <v>102</v>
      </c>
      <c r="F5" s="106" t="s">
        <v>103</v>
      </c>
      <c r="G5" s="106" t="s">
        <v>104</v>
      </c>
      <c r="H5" s="105"/>
      <c r="I5" s="105" t="s">
        <v>105</v>
      </c>
      <c r="J5" s="106" t="s">
        <v>106</v>
      </c>
      <c r="K5" s="106" t="s">
        <v>107</v>
      </c>
      <c r="L5" s="105"/>
      <c r="M5" s="107" t="s">
        <v>108</v>
      </c>
      <c r="N5" s="107" t="s">
        <v>109</v>
      </c>
      <c r="O5" s="108" t="s">
        <v>110</v>
      </c>
    </row>
    <row r="6" spans="2:15" x14ac:dyDescent="0.3">
      <c r="B6" s="109"/>
      <c r="C6" s="110"/>
      <c r="D6" s="110"/>
      <c r="E6" s="110"/>
      <c r="F6" s="110"/>
      <c r="G6" s="110"/>
      <c r="H6" s="109"/>
      <c r="I6" s="110"/>
      <c r="J6" s="110"/>
      <c r="K6" s="110"/>
      <c r="L6" s="109"/>
      <c r="M6" s="111"/>
      <c r="N6" s="111"/>
      <c r="O6" s="111"/>
    </row>
    <row r="7" spans="2:15" x14ac:dyDescent="0.3">
      <c r="B7" s="156" t="str">
        <f>'Raw comps data'!C9</f>
        <v>Persistent Systems</v>
      </c>
      <c r="C7" s="157">
        <f>'Raw comps data'!D9</f>
        <v>5654</v>
      </c>
      <c r="D7" s="157">
        <f>'Raw comps data'!E9</f>
        <v>15.75</v>
      </c>
      <c r="E7" s="157">
        <f>'Raw comps data'!F9</f>
        <v>89050.5</v>
      </c>
      <c r="F7" s="157">
        <f>'Raw comps data'!I9</f>
        <v>-740.8</v>
      </c>
      <c r="G7" s="157">
        <f>'Raw comps data'!J9</f>
        <v>88309.7</v>
      </c>
      <c r="H7" s="158"/>
      <c r="I7" s="157">
        <f>'Raw comps data'!K9</f>
        <v>15718</v>
      </c>
      <c r="J7" s="157">
        <f>'Raw comps data'!L9</f>
        <v>2881.1093999999998</v>
      </c>
      <c r="K7" s="157">
        <f>'Raw comps data'!M9</f>
        <v>1923</v>
      </c>
      <c r="L7" s="159"/>
      <c r="M7" s="160">
        <f t="shared" ref="M7:M16" si="0">G7/I7</f>
        <v>5.6183802010433892</v>
      </c>
      <c r="N7" s="160">
        <f t="shared" ref="N7:N16" si="1">G7/J7</f>
        <v>30.651283148081777</v>
      </c>
      <c r="O7" s="160">
        <f t="shared" ref="O7:O16" si="2">E7/K7</f>
        <v>46.308112324492981</v>
      </c>
    </row>
    <row r="8" spans="2:15" x14ac:dyDescent="0.3">
      <c r="B8" s="112" t="str">
        <f>'Raw comps data'!C8</f>
        <v>Oracle Fin.Serv.</v>
      </c>
      <c r="C8" s="113">
        <f>'Raw comps data'!D8</f>
        <v>11799</v>
      </c>
      <c r="D8" s="113">
        <f>'Raw comps data'!E8</f>
        <v>8.7100000000000009</v>
      </c>
      <c r="E8" s="113">
        <f>'Raw comps data'!F8</f>
        <v>102769.29000000001</v>
      </c>
      <c r="F8" s="113">
        <f>'Raw comps data'!I8</f>
        <v>-6000</v>
      </c>
      <c r="G8" s="113">
        <f>'Raw comps data'!J8</f>
        <v>96769.290000000008</v>
      </c>
      <c r="H8" s="113"/>
      <c r="I8" s="113">
        <f>'Raw comps data'!K8</f>
        <v>8945</v>
      </c>
      <c r="J8" s="113">
        <f>'Raw comps data'!L8</f>
        <v>4025.25</v>
      </c>
      <c r="K8" s="113">
        <f>'Raw comps data'!M8</f>
        <v>3413</v>
      </c>
      <c r="L8" s="112"/>
      <c r="M8" s="114">
        <f t="shared" si="0"/>
        <v>10.81825489100056</v>
      </c>
      <c r="N8" s="114">
        <f t="shared" si="1"/>
        <v>24.040566424445689</v>
      </c>
      <c r="O8" s="114">
        <f t="shared" si="2"/>
        <v>30.111130969821275</v>
      </c>
    </row>
    <row r="9" spans="2:15" x14ac:dyDescent="0.3">
      <c r="B9" s="112" t="str">
        <f>'Raw comps data'!C10</f>
        <v>Coforge</v>
      </c>
      <c r="C9" s="113">
        <f>'Raw comps data'!D10</f>
        <v>1889.1</v>
      </c>
      <c r="D9" s="113">
        <f>'Raw comps data'!E10</f>
        <v>44.29</v>
      </c>
      <c r="E9" s="113">
        <f>'Raw comps data'!F10</f>
        <v>83668.239000000001</v>
      </c>
      <c r="F9" s="113">
        <f>'Raw comps data'!I10</f>
        <v>-1772.2</v>
      </c>
      <c r="G9" s="113">
        <f>'Raw comps data'!J10</f>
        <v>81896.039000000004</v>
      </c>
      <c r="H9" s="113"/>
      <c r="I9" s="113">
        <f>'Raw comps data'!K10</f>
        <v>18195</v>
      </c>
      <c r="J9" s="113">
        <f>'Raw comps data'!L10</f>
        <v>3457.05</v>
      </c>
      <c r="K9" s="113">
        <f>'Raw comps data'!M10</f>
        <v>1920</v>
      </c>
      <c r="L9" s="112"/>
      <c r="M9" s="114">
        <f t="shared" si="0"/>
        <v>4.5010189062929378</v>
      </c>
      <c r="N9" s="114">
        <f t="shared" si="1"/>
        <v>23.689573191015462</v>
      </c>
      <c r="O9" s="114">
        <f t="shared" si="2"/>
        <v>43.577207812499999</v>
      </c>
    </row>
    <row r="10" spans="2:15" x14ac:dyDescent="0.3">
      <c r="B10" s="112" t="str">
        <f>'Raw comps data'!C11</f>
        <v>Mphasis</v>
      </c>
      <c r="C10" s="113">
        <f>'Raw comps data'!D11</f>
        <v>2394.9</v>
      </c>
      <c r="D10" s="113">
        <f>'Raw comps data'!E11</f>
        <v>19.09</v>
      </c>
      <c r="E10" s="113">
        <f>'Raw comps data'!F11</f>
        <v>45718.641000000003</v>
      </c>
      <c r="F10" s="113">
        <f>'Raw comps data'!I11</f>
        <v>819.67999999999984</v>
      </c>
      <c r="G10" s="113">
        <f>'Raw comps data'!J11</f>
        <v>46538.321000000004</v>
      </c>
      <c r="H10" s="113"/>
      <c r="I10" s="113">
        <f>'Raw comps data'!K11</f>
        <v>16531</v>
      </c>
      <c r="J10" s="113">
        <f>'Raw comps data'!L11</f>
        <v>2644.96</v>
      </c>
      <c r="K10" s="113">
        <f>'Raw comps data'!M11</f>
        <v>1910</v>
      </c>
      <c r="L10" s="112"/>
      <c r="M10" s="114">
        <f t="shared" si="0"/>
        <v>2.8152151110035692</v>
      </c>
      <c r="N10" s="114">
        <f t="shared" si="1"/>
        <v>17.595094443772307</v>
      </c>
      <c r="O10" s="114">
        <f t="shared" si="2"/>
        <v>23.936461256544504</v>
      </c>
    </row>
    <row r="11" spans="2:15" x14ac:dyDescent="0.3">
      <c r="B11" s="112" t="str">
        <f>'Raw comps data'!C12</f>
        <v>Hexaware Tech.</v>
      </c>
      <c r="C11" s="113">
        <f>'Raw comps data'!D12</f>
        <v>548.29999999999995</v>
      </c>
      <c r="D11" s="113">
        <f>'Raw comps data'!E12</f>
        <v>61.1</v>
      </c>
      <c r="E11" s="113">
        <f>'Raw comps data'!F12</f>
        <v>33501.129999999997</v>
      </c>
      <c r="F11" s="113">
        <f>'Raw comps data'!I12</f>
        <v>-870</v>
      </c>
      <c r="G11" s="113">
        <f>'Raw comps data'!J12</f>
        <v>32631.129999999997</v>
      </c>
      <c r="H11" s="113"/>
      <c r="I11" s="113">
        <f>'Raw comps data'!K12</f>
        <v>15380</v>
      </c>
      <c r="J11" s="113">
        <f>'Raw comps data'!L12</f>
        <v>2460.8000000000002</v>
      </c>
      <c r="K11" s="113">
        <f>'Raw comps data'!M12</f>
        <v>1320.8</v>
      </c>
      <c r="L11" s="112"/>
      <c r="M11" s="114">
        <f t="shared" si="0"/>
        <v>2.1216599479843952</v>
      </c>
      <c r="N11" s="114">
        <f t="shared" si="1"/>
        <v>13.260374674902469</v>
      </c>
      <c r="O11" s="114">
        <f t="shared" si="2"/>
        <v>25.364271653543305</v>
      </c>
    </row>
    <row r="12" spans="2:15" x14ac:dyDescent="0.3">
      <c r="B12" s="112" t="str">
        <f>'Raw comps data'!C13</f>
        <v>Tata Elxsi</v>
      </c>
      <c r="C12" s="113">
        <f>'Raw comps data'!D13</f>
        <v>3633.8</v>
      </c>
      <c r="D12" s="113">
        <f>'Raw comps data'!E13</f>
        <v>6.23</v>
      </c>
      <c r="E12" s="113">
        <f>'Raw comps data'!F13</f>
        <v>22638.574000000004</v>
      </c>
      <c r="F12" s="113">
        <f>'Raw comps data'!I13</f>
        <v>-650</v>
      </c>
      <c r="G12" s="113">
        <f>'Raw comps data'!J13</f>
        <v>21988.574000000004</v>
      </c>
      <c r="H12" s="113"/>
      <c r="I12" s="113">
        <f>'Raw comps data'!K13</f>
        <v>3886</v>
      </c>
      <c r="J12" s="113">
        <f>'Raw comps data'!L13</f>
        <v>816.06</v>
      </c>
      <c r="K12" s="113">
        <f>'Raw comps data'!M13</f>
        <v>655</v>
      </c>
      <c r="L12" s="112"/>
      <c r="M12" s="114">
        <f t="shared" si="0"/>
        <v>5.658408131755019</v>
      </c>
      <c r="N12" s="114">
        <f t="shared" si="1"/>
        <v>26.944800627404856</v>
      </c>
      <c r="O12" s="114">
        <f t="shared" si="2"/>
        <v>34.562708396946569</v>
      </c>
    </row>
    <row r="13" spans="2:15" x14ac:dyDescent="0.3">
      <c r="B13" s="112" t="str">
        <f>'Raw comps data'!C14</f>
        <v>Firstsource Solutions</v>
      </c>
      <c r="C13" s="113">
        <f>'Raw comps data'!D14</f>
        <v>263.8</v>
      </c>
      <c r="D13" s="113">
        <f>'Raw comps data'!E14</f>
        <v>72.14</v>
      </c>
      <c r="E13" s="113">
        <f>'Raw comps data'!F14</f>
        <v>19030.531999999999</v>
      </c>
      <c r="F13" s="113">
        <f>'Raw comps data'!I14</f>
        <v>300</v>
      </c>
      <c r="G13" s="113">
        <f>'Raw comps data'!J14</f>
        <v>19330.531999999999</v>
      </c>
      <c r="H13" s="113"/>
      <c r="I13" s="113">
        <f>'Raw comps data'!K14</f>
        <v>11000</v>
      </c>
      <c r="J13" s="113">
        <f>'Raw comps data'!L14</f>
        <v>1100</v>
      </c>
      <c r="K13" s="113">
        <f>'Raw comps data'!M14</f>
        <v>550</v>
      </c>
      <c r="L13" s="112"/>
      <c r="M13" s="114">
        <f t="shared" si="0"/>
        <v>1.7573210909090908</v>
      </c>
      <c r="N13" s="114">
        <f t="shared" si="1"/>
        <v>17.573210909090907</v>
      </c>
      <c r="O13" s="114">
        <f t="shared" si="2"/>
        <v>34.600967272727274</v>
      </c>
    </row>
    <row r="14" spans="2:15" x14ac:dyDescent="0.3">
      <c r="B14" s="112" t="str">
        <f>'Raw comps data'!C15</f>
        <v>eClerx Services</v>
      </c>
      <c r="C14" s="113">
        <f>'Raw comps data'!D15</f>
        <v>1758</v>
      </c>
      <c r="D14" s="113">
        <f>'Raw comps data'!E15</f>
        <v>9.4700000000000006</v>
      </c>
      <c r="E14" s="113">
        <f>'Raw comps data'!F15</f>
        <v>16648.260000000002</v>
      </c>
      <c r="F14" s="113">
        <f>'Raw comps data'!I15</f>
        <v>-750</v>
      </c>
      <c r="G14" s="113">
        <f>'Raw comps data'!J15</f>
        <v>15898.260000000002</v>
      </c>
      <c r="H14" s="113"/>
      <c r="I14" s="113">
        <f>'Raw comps data'!K15</f>
        <v>4680</v>
      </c>
      <c r="J14" s="113">
        <f>'Raw comps data'!L15</f>
        <v>1123.2</v>
      </c>
      <c r="K14" s="113">
        <f>'Raw comps data'!M15</f>
        <v>657.2</v>
      </c>
      <c r="L14" s="112"/>
      <c r="M14" s="114">
        <f t="shared" si="0"/>
        <v>3.3970641025641028</v>
      </c>
      <c r="N14" s="114">
        <f t="shared" si="1"/>
        <v>14.154433760683762</v>
      </c>
      <c r="O14" s="114">
        <f t="shared" si="2"/>
        <v>25.332105903834449</v>
      </c>
    </row>
    <row r="15" spans="2:15" x14ac:dyDescent="0.3">
      <c r="B15" s="112" t="str">
        <f>'Raw comps data'!C16</f>
        <v>KPIT Technologies</v>
      </c>
      <c r="C15" s="113">
        <f>'Raw comps data'!D16</f>
        <v>582.35</v>
      </c>
      <c r="D15" s="113">
        <f>'Raw comps data'!E16</f>
        <v>27.41</v>
      </c>
      <c r="E15" s="113">
        <f>'Raw comps data'!F16</f>
        <v>15962.2135</v>
      </c>
      <c r="F15" s="113">
        <f>'Raw comps data'!I16</f>
        <v>-400</v>
      </c>
      <c r="G15" s="113">
        <f>'Raw comps data'!J16</f>
        <v>15562.2135</v>
      </c>
      <c r="H15" s="113"/>
      <c r="I15" s="113">
        <f>'Raw comps data'!K16</f>
        <v>6700</v>
      </c>
      <c r="J15" s="113">
        <f>'Raw comps data'!L16</f>
        <v>1273</v>
      </c>
      <c r="K15" s="113">
        <f>'Raw comps data'!M16</f>
        <v>466</v>
      </c>
      <c r="L15" s="112"/>
      <c r="M15" s="114">
        <f t="shared" si="0"/>
        <v>2.322718432835821</v>
      </c>
      <c r="N15" s="114">
        <f t="shared" si="1"/>
        <v>12.224833857030637</v>
      </c>
      <c r="O15" s="114">
        <f t="shared" si="2"/>
        <v>34.253677038626606</v>
      </c>
    </row>
    <row r="16" spans="2:15" x14ac:dyDescent="0.3">
      <c r="B16" s="112" t="str">
        <f>'Raw comps data'!C17</f>
        <v>Fractal Analytics</v>
      </c>
      <c r="C16" s="113">
        <f>'Raw comps data'!D17</f>
        <v>844.55</v>
      </c>
      <c r="D16" s="113">
        <f>'Raw comps data'!E17</f>
        <v>17.2</v>
      </c>
      <c r="E16" s="113">
        <f>'Raw comps data'!F17</f>
        <v>14526.259999999998</v>
      </c>
      <c r="F16" s="113">
        <f>'Raw comps data'!I17</f>
        <v>-750</v>
      </c>
      <c r="G16" s="113">
        <f>'Raw comps data'!J17</f>
        <v>13776.259999999998</v>
      </c>
      <c r="H16" s="113"/>
      <c r="I16" s="113">
        <f>'Raw comps data'!K17</f>
        <v>3650</v>
      </c>
      <c r="J16" s="113">
        <f>'Raw comps data'!L17</f>
        <v>547.5</v>
      </c>
      <c r="K16" s="113">
        <f>'Raw comps data'!M17</f>
        <v>289.2</v>
      </c>
      <c r="L16" s="112"/>
      <c r="M16" s="114">
        <f t="shared" si="0"/>
        <v>3.7743178082191777</v>
      </c>
      <c r="N16" s="114">
        <f t="shared" si="1"/>
        <v>25.162118721461184</v>
      </c>
      <c r="O16" s="114">
        <f t="shared" si="2"/>
        <v>50.229114799446748</v>
      </c>
    </row>
    <row r="18" spans="2:15" x14ac:dyDescent="0.3">
      <c r="B18" s="112" t="s">
        <v>111</v>
      </c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4">
        <f>MAX(M8:M16)</f>
        <v>10.81825489100056</v>
      </c>
      <c r="N18" s="114">
        <f>MAX(N8:N16)</f>
        <v>26.944800627404856</v>
      </c>
      <c r="O18" s="114">
        <f>MAX(O8:O16)</f>
        <v>50.229114799446748</v>
      </c>
    </row>
    <row r="19" spans="2:15" x14ac:dyDescent="0.3">
      <c r="B19" s="112" t="s">
        <v>112</v>
      </c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4">
        <f>QUARTILE(M8:M16,3)</f>
        <v>4.5010189062929378</v>
      </c>
      <c r="N19" s="114">
        <f>QUARTILE(N8:N16,3)</f>
        <v>24.040566424445689</v>
      </c>
      <c r="O19" s="114">
        <f>QUARTILE(O8:O16,3)</f>
        <v>34.600967272727274</v>
      </c>
    </row>
    <row r="20" spans="2:15" x14ac:dyDescent="0.3">
      <c r="B20" s="115" t="s">
        <v>44</v>
      </c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6">
        <f>AVERAGE(M8:M16)</f>
        <v>4.129553158062742</v>
      </c>
      <c r="N20" s="116">
        <f>AVERAGE(N8:N16)</f>
        <v>19.40500073442303</v>
      </c>
      <c r="O20" s="116">
        <f>AVERAGE(O8:O16)</f>
        <v>33.551960567110079</v>
      </c>
    </row>
    <row r="21" spans="2:15" x14ac:dyDescent="0.3">
      <c r="B21" s="115" t="s">
        <v>45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6">
        <f>MEDIAN(M8:M16)</f>
        <v>3.3970641025641028</v>
      </c>
      <c r="N21" s="116">
        <f>MEDIAN(N8:N16)</f>
        <v>17.595094443772307</v>
      </c>
      <c r="O21" s="116">
        <f>MEDIAN(O8:O16)</f>
        <v>34.253677038626606</v>
      </c>
    </row>
    <row r="22" spans="2:15" x14ac:dyDescent="0.3">
      <c r="B22" s="112" t="s">
        <v>113</v>
      </c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4">
        <f>QUARTILE(M8:M16,1)</f>
        <v>2.322718432835821</v>
      </c>
      <c r="N22" s="114">
        <f>QUARTILE(N8:N16,1)</f>
        <v>14.154433760683762</v>
      </c>
      <c r="O22" s="114">
        <f>QUARTILE(O8:O16,1)</f>
        <v>25.364271653543305</v>
      </c>
    </row>
    <row r="23" spans="2:15" x14ac:dyDescent="0.3">
      <c r="B23" s="112" t="s">
        <v>114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4">
        <f>MIN(M8:M16)</f>
        <v>1.7573210909090908</v>
      </c>
      <c r="N23" s="114">
        <f>MIN(N8:N16)</f>
        <v>12.224833857030637</v>
      </c>
      <c r="O23" s="114">
        <f>MIN(O8:O16)</f>
        <v>23.936461256544504</v>
      </c>
    </row>
    <row r="25" spans="2:15" x14ac:dyDescent="0.3">
      <c r="B25" s="117" t="s">
        <v>115</v>
      </c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9" t="s">
        <v>116</v>
      </c>
      <c r="N25" s="120" t="s">
        <v>109</v>
      </c>
      <c r="O25" s="119" t="s">
        <v>110</v>
      </c>
    </row>
    <row r="26" spans="2:15" x14ac:dyDescent="0.3">
      <c r="B26" s="121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122"/>
      <c r="N26" s="123"/>
      <c r="O26" s="122"/>
    </row>
    <row r="27" spans="2:15" x14ac:dyDescent="0.3">
      <c r="B27" t="s">
        <v>117</v>
      </c>
      <c r="M27" s="91">
        <f>M21*I7</f>
        <v>53395.053564102571</v>
      </c>
      <c r="N27" s="91">
        <f>N21*J7</f>
        <v>50693.39199584016</v>
      </c>
      <c r="O27" s="91">
        <f>O29+O28</f>
        <v>65129.020945278957</v>
      </c>
    </row>
    <row r="28" spans="2:15" x14ac:dyDescent="0.3">
      <c r="B28" t="s">
        <v>103</v>
      </c>
      <c r="M28" s="91">
        <f>$F$7</f>
        <v>-740.8</v>
      </c>
      <c r="N28" s="91">
        <f>$F$7</f>
        <v>-740.8</v>
      </c>
      <c r="O28" s="91">
        <f>$F$7</f>
        <v>-740.8</v>
      </c>
    </row>
    <row r="29" spans="2:15" x14ac:dyDescent="0.3">
      <c r="B29" t="s">
        <v>118</v>
      </c>
      <c r="M29" s="91">
        <f>M27-M28</f>
        <v>54135.853564102574</v>
      </c>
      <c r="N29" s="91">
        <f>N27-N28</f>
        <v>51434.191995840163</v>
      </c>
      <c r="O29" s="91">
        <f>O21*K7</f>
        <v>65869.82094527896</v>
      </c>
    </row>
    <row r="30" spans="2:15" ht="15" customHeight="1" x14ac:dyDescent="0.3">
      <c r="B30" t="s">
        <v>119</v>
      </c>
      <c r="M30" s="91">
        <f>$D$7</f>
        <v>15.75</v>
      </c>
      <c r="N30" s="91">
        <f>$D$7</f>
        <v>15.75</v>
      </c>
      <c r="O30" s="91">
        <f>$D$7</f>
        <v>15.75</v>
      </c>
    </row>
    <row r="31" spans="2:15" ht="15" customHeight="1" x14ac:dyDescent="0.3">
      <c r="B31" s="124" t="s">
        <v>120</v>
      </c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5">
        <f>M29/M30</f>
        <v>3437.1970516890524</v>
      </c>
      <c r="N31" s="125">
        <f>N29/N30</f>
        <v>3265.6629838628673</v>
      </c>
      <c r="O31" s="125">
        <f>O29/O30</f>
        <v>4182.2108536685055</v>
      </c>
    </row>
    <row r="32" spans="2:15" ht="15" customHeight="1" x14ac:dyDescent="0.3">
      <c r="B32" s="126" t="s">
        <v>121</v>
      </c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 t="str">
        <f>IF(M31&gt;$C$8,"Undervalued","Overvalued")</f>
        <v>Overvalued</v>
      </c>
      <c r="N32" s="126" t="str">
        <f>IF(N31&gt;$C$8,"Undervalued","Overvalued")</f>
        <v>Overvalued</v>
      </c>
      <c r="O32" s="126" t="str">
        <f>IF(O31&gt;$C$8,"Undervalued","Overvalued")</f>
        <v>Overvalued</v>
      </c>
    </row>
  </sheetData>
  <mergeCells count="4">
    <mergeCell ref="B2:O2"/>
    <mergeCell ref="C4:G4"/>
    <mergeCell ref="I4:K4"/>
    <mergeCell ref="M4:O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L2:P8"/>
  <sheetViews>
    <sheetView showGridLines="0" tabSelected="1" zoomScale="145" zoomScaleNormal="145" workbookViewId="0">
      <selection activeCell="L12" sqref="L12"/>
    </sheetView>
  </sheetViews>
  <sheetFormatPr defaultColWidth="8.6640625" defaultRowHeight="14.4" x14ac:dyDescent="0.3"/>
  <cols>
    <col min="1" max="1" width="1.88671875" customWidth="1"/>
    <col min="13" max="13" width="8.77734375" customWidth="1"/>
  </cols>
  <sheetData>
    <row r="2" spans="12:16" x14ac:dyDescent="0.3">
      <c r="L2" s="127" t="s">
        <v>122</v>
      </c>
      <c r="M2" s="128"/>
      <c r="N2" s="128"/>
      <c r="O2" s="128"/>
      <c r="P2" s="128"/>
    </row>
    <row r="3" spans="12:16" x14ac:dyDescent="0.3">
      <c r="M3" s="129" t="s">
        <v>123</v>
      </c>
      <c r="N3" s="129" t="s">
        <v>114</v>
      </c>
      <c r="O3" s="129" t="s">
        <v>124</v>
      </c>
      <c r="P3" s="129" t="s">
        <v>125</v>
      </c>
    </row>
    <row r="4" spans="12:16" x14ac:dyDescent="0.3">
      <c r="L4" t="s">
        <v>126</v>
      </c>
      <c r="M4" s="46">
        <f>N4</f>
        <v>3265.6629838628673</v>
      </c>
      <c r="N4" s="46">
        <f>'Relative Comps Valuation'!N31</f>
        <v>3265.6629838628673</v>
      </c>
      <c r="O4" s="46">
        <f>P4</f>
        <v>3437.1970516890524</v>
      </c>
      <c r="P4" s="46">
        <f>'Relative Comps Valuation'!M31</f>
        <v>3437.1970516890524</v>
      </c>
    </row>
    <row r="5" spans="12:16" x14ac:dyDescent="0.3">
      <c r="L5" t="s">
        <v>127</v>
      </c>
      <c r="M5" s="46">
        <f>N5</f>
        <v>756.61585418260131</v>
      </c>
      <c r="N5" s="46">
        <f>DCF!J19</f>
        <v>756.61585418260131</v>
      </c>
      <c r="O5" s="46">
        <f>P5</f>
        <v>1097.6531685219952</v>
      </c>
      <c r="P5" s="46">
        <f>DCF!J23</f>
        <v>1097.6531685219952</v>
      </c>
    </row>
    <row r="6" spans="12:16" x14ac:dyDescent="0.3">
      <c r="L6" t="s">
        <v>128</v>
      </c>
      <c r="M6" s="46">
        <f>N6</f>
        <v>877.10496878581694</v>
      </c>
      <c r="N6" s="46">
        <f>DCF!H19</f>
        <v>877.10496878581694</v>
      </c>
      <c r="O6" s="46">
        <f>P6</f>
        <v>1631.4001353727201</v>
      </c>
      <c r="P6" s="46">
        <f>DCF!H23</f>
        <v>1631.4001353727201</v>
      </c>
    </row>
    <row r="7" spans="12:16" x14ac:dyDescent="0.3">
      <c r="L7" t="s">
        <v>129</v>
      </c>
      <c r="M7" s="46">
        <f>N7</f>
        <v>1097.6531685219948</v>
      </c>
      <c r="N7" s="46">
        <f>DCF!F19</f>
        <v>1097.6531685219948</v>
      </c>
      <c r="O7" s="46">
        <f>P7</f>
        <v>4779.2516620498527</v>
      </c>
      <c r="P7" s="46">
        <f>DCF!F23</f>
        <v>4779.2516620498527</v>
      </c>
    </row>
    <row r="8" spans="12:16" x14ac:dyDescent="0.3">
      <c r="L8" t="s">
        <v>130</v>
      </c>
      <c r="M8" s="46">
        <f>N8</f>
        <v>4300</v>
      </c>
      <c r="N8" s="33">
        <v>4300</v>
      </c>
      <c r="O8" s="46">
        <f>P8</f>
        <v>6788</v>
      </c>
      <c r="P8" s="33">
        <v>6788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O8"/>
  <sheetViews>
    <sheetView showGridLines="0" zoomScale="145" zoomScaleNormal="145" workbookViewId="0">
      <selection activeCell="H4" sqref="H4"/>
    </sheetView>
  </sheetViews>
  <sheetFormatPr defaultColWidth="8.6640625" defaultRowHeight="14.4" x14ac:dyDescent="0.3"/>
  <cols>
    <col min="1" max="1" width="1.88671875" customWidth="1"/>
    <col min="2" max="2" width="5.5546875" customWidth="1"/>
    <col min="3" max="3" width="16.6640625" customWidth="1"/>
    <col min="4" max="4" width="9.44140625" customWidth="1"/>
    <col min="5" max="5" width="14" customWidth="1"/>
    <col min="6" max="6" width="10.33203125" customWidth="1"/>
    <col min="8" max="8" width="23" customWidth="1"/>
    <col min="10" max="10" width="19.21875" customWidth="1"/>
    <col min="11" max="11" width="9.21875" customWidth="1"/>
    <col min="12" max="12" width="13.21875" customWidth="1"/>
    <col min="13" max="14" width="9" customWidth="1"/>
    <col min="18" max="18" width="16.109375" customWidth="1"/>
    <col min="19" max="19" width="8.33203125" customWidth="1"/>
    <col min="20" max="20" width="14.44140625" customWidth="1"/>
  </cols>
  <sheetData>
    <row r="2" spans="2:15" x14ac:dyDescent="0.3">
      <c r="B2" s="161" t="s">
        <v>131</v>
      </c>
      <c r="C2" s="161"/>
      <c r="D2" s="161"/>
      <c r="E2" s="161"/>
      <c r="F2" s="161"/>
      <c r="G2" s="161"/>
      <c r="H2" s="161"/>
    </row>
    <row r="3" spans="2:15" x14ac:dyDescent="0.3">
      <c r="B3" s="20" t="s">
        <v>132</v>
      </c>
      <c r="C3" s="20" t="s">
        <v>35</v>
      </c>
      <c r="D3" s="20" t="s">
        <v>133</v>
      </c>
      <c r="E3" s="20" t="s">
        <v>134</v>
      </c>
      <c r="F3" s="20" t="s">
        <v>135</v>
      </c>
      <c r="G3" s="20" t="s">
        <v>136</v>
      </c>
      <c r="H3" s="20" t="s">
        <v>137</v>
      </c>
      <c r="J3" s="130"/>
      <c r="K3" s="131"/>
      <c r="L3" s="131"/>
      <c r="M3" s="131"/>
      <c r="N3" s="130"/>
      <c r="O3" s="130"/>
    </row>
    <row r="4" spans="2:15" x14ac:dyDescent="0.3">
      <c r="B4">
        <v>1</v>
      </c>
      <c r="C4" s="130" t="s">
        <v>138</v>
      </c>
      <c r="D4" s="131">
        <v>4464</v>
      </c>
      <c r="E4" s="131">
        <v>131820.63</v>
      </c>
      <c r="F4" s="131">
        <v>2310</v>
      </c>
      <c r="G4" s="130">
        <v>0.1</v>
      </c>
      <c r="H4" s="130">
        <v>1.1599999999999999</v>
      </c>
      <c r="J4" s="130"/>
      <c r="K4" s="131"/>
      <c r="L4" s="131"/>
      <c r="M4" s="130"/>
      <c r="N4" s="130"/>
      <c r="O4" s="130"/>
    </row>
    <row r="5" spans="2:15" x14ac:dyDescent="0.3">
      <c r="B5">
        <v>2</v>
      </c>
      <c r="C5" s="130" t="s">
        <v>139</v>
      </c>
      <c r="D5" s="131">
        <v>11855</v>
      </c>
      <c r="E5" s="131">
        <v>103353.1</v>
      </c>
      <c r="F5" s="130">
        <v>32.5</v>
      </c>
      <c r="G5" s="130">
        <v>0</v>
      </c>
      <c r="H5" s="130">
        <v>1.02</v>
      </c>
      <c r="J5" s="130"/>
      <c r="K5" s="131"/>
      <c r="L5" s="131"/>
      <c r="M5" s="130"/>
      <c r="N5" s="130"/>
      <c r="O5" s="130"/>
    </row>
    <row r="6" spans="2:15" x14ac:dyDescent="0.3">
      <c r="B6">
        <v>3</v>
      </c>
      <c r="C6" s="130" t="s">
        <v>140</v>
      </c>
      <c r="D6" s="131">
        <v>5654</v>
      </c>
      <c r="E6" s="131">
        <v>89040.54</v>
      </c>
      <c r="F6" s="130">
        <v>477.45</v>
      </c>
      <c r="G6" s="130">
        <v>0.06</v>
      </c>
      <c r="H6" s="130">
        <v>1.0900000000000001</v>
      </c>
      <c r="J6" s="130"/>
      <c r="K6" s="131"/>
      <c r="L6" s="131"/>
      <c r="M6" s="130"/>
      <c r="N6" s="130"/>
      <c r="O6" s="130"/>
    </row>
    <row r="7" spans="2:15" x14ac:dyDescent="0.3">
      <c r="B7">
        <v>4</v>
      </c>
      <c r="C7" s="130" t="s">
        <v>141</v>
      </c>
      <c r="D7" s="131">
        <v>1901.8</v>
      </c>
      <c r="E7" s="131">
        <v>84234.62</v>
      </c>
      <c r="F7" s="130">
        <v>727.8</v>
      </c>
      <c r="G7" s="130">
        <v>0.08</v>
      </c>
      <c r="H7" s="130">
        <v>1.1399999999999999</v>
      </c>
      <c r="J7" s="130"/>
      <c r="K7" s="131"/>
      <c r="L7" s="131"/>
      <c r="M7" s="131"/>
      <c r="N7" s="130"/>
      <c r="O7" s="130"/>
    </row>
    <row r="8" spans="2:15" x14ac:dyDescent="0.3">
      <c r="B8">
        <v>5</v>
      </c>
      <c r="C8" s="130" t="s">
        <v>142</v>
      </c>
      <c r="D8" s="131">
        <v>2413.6</v>
      </c>
      <c r="E8" s="131">
        <v>46088.08</v>
      </c>
      <c r="F8" s="131">
        <v>2619.6799999999998</v>
      </c>
      <c r="G8" s="130">
        <v>0.24</v>
      </c>
      <c r="H8" s="130">
        <v>1.32</v>
      </c>
    </row>
  </sheetData>
  <mergeCells count="1">
    <mergeCell ref="B2:H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AB72"/>
  <sheetViews>
    <sheetView showGridLines="0" topLeftCell="A2" zoomScale="175" zoomScaleNormal="175" workbookViewId="0">
      <pane ySplit="1" topLeftCell="A3" activePane="bottomLeft" state="frozen"/>
      <selection activeCell="A2" sqref="A2"/>
      <selection pane="bottomLeft" activeCell="J6" sqref="J6"/>
    </sheetView>
  </sheetViews>
  <sheetFormatPr defaultColWidth="8.6640625" defaultRowHeight="14.4" x14ac:dyDescent="0.3"/>
  <cols>
    <col min="1" max="1" width="1.88671875" customWidth="1"/>
    <col min="2" max="2" width="29.109375" customWidth="1"/>
    <col min="3" max="3" width="7.33203125" customWidth="1"/>
    <col min="4" max="14" width="8.109375" customWidth="1"/>
    <col min="16" max="16" width="25.77734375" customWidth="1"/>
    <col min="17" max="27" width="7" customWidth="1"/>
    <col min="28" max="28" width="6.109375" customWidth="1"/>
  </cols>
  <sheetData>
    <row r="2" spans="2:14" x14ac:dyDescent="0.3">
      <c r="B2" s="1" t="s">
        <v>143</v>
      </c>
      <c r="C2" s="84">
        <v>42064</v>
      </c>
      <c r="D2" s="84">
        <v>42430</v>
      </c>
      <c r="E2" s="84">
        <v>42795</v>
      </c>
      <c r="F2" s="84">
        <v>43160</v>
      </c>
      <c r="G2" s="84">
        <v>43525</v>
      </c>
      <c r="H2" s="84">
        <v>43891</v>
      </c>
      <c r="I2" s="84">
        <v>44256</v>
      </c>
      <c r="J2" s="84">
        <v>44621</v>
      </c>
      <c r="K2" s="84">
        <v>44986</v>
      </c>
      <c r="L2" s="84">
        <v>45352</v>
      </c>
      <c r="M2" s="84">
        <v>45717</v>
      </c>
      <c r="N2" s="84">
        <v>46082</v>
      </c>
    </row>
    <row r="3" spans="2:14" x14ac:dyDescent="0.3">
      <c r="B3" s="121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</row>
    <row r="4" spans="2:14" x14ac:dyDescent="0.3">
      <c r="B4" s="20" t="s">
        <v>144</v>
      </c>
      <c r="C4" s="93">
        <v>80</v>
      </c>
      <c r="D4" s="93">
        <v>80</v>
      </c>
      <c r="E4" s="93">
        <v>80</v>
      </c>
      <c r="F4" s="93">
        <v>80</v>
      </c>
      <c r="G4" s="93">
        <v>79.12</v>
      </c>
      <c r="H4" s="93">
        <v>76.430000000000007</v>
      </c>
      <c r="I4" s="93">
        <v>76.430000000000007</v>
      </c>
      <c r="J4" s="93">
        <v>76.430000000000007</v>
      </c>
      <c r="K4" s="93">
        <v>76.430000000000007</v>
      </c>
      <c r="L4" s="93">
        <v>77.03</v>
      </c>
      <c r="M4" s="93">
        <v>77.930000000000007</v>
      </c>
      <c r="N4" s="93">
        <v>78.88</v>
      </c>
    </row>
    <row r="5" spans="2:14" x14ac:dyDescent="0.3">
      <c r="B5" s="20" t="s">
        <v>145</v>
      </c>
      <c r="C5" s="93">
        <v>780</v>
      </c>
      <c r="D5" s="93">
        <v>850</v>
      </c>
      <c r="E5" s="93">
        <v>1819.26</v>
      </c>
      <c r="F5" s="93">
        <v>2047.2</v>
      </c>
      <c r="G5" s="93">
        <v>2265.56</v>
      </c>
      <c r="H5" s="93">
        <v>2309.33</v>
      </c>
      <c r="I5" s="93">
        <v>2719.24</v>
      </c>
      <c r="J5" s="93">
        <v>3291.8</v>
      </c>
      <c r="K5" s="93">
        <v>3888.65</v>
      </c>
      <c r="L5" s="93">
        <v>4880.68</v>
      </c>
      <c r="M5" s="93">
        <v>6241.14</v>
      </c>
      <c r="N5" s="93">
        <v>7758.98</v>
      </c>
    </row>
    <row r="6" spans="2:14" x14ac:dyDescent="0.3">
      <c r="B6" s="20" t="s">
        <v>146</v>
      </c>
      <c r="C6" s="93">
        <f t="shared" ref="C6:N6" si="0">SUM(C7:C10)</f>
        <v>3</v>
      </c>
      <c r="D6" s="93">
        <f t="shared" si="0"/>
        <v>3</v>
      </c>
      <c r="E6" s="93">
        <f t="shared" si="0"/>
        <v>2.73</v>
      </c>
      <c r="F6" s="93">
        <f t="shared" si="0"/>
        <v>2.19</v>
      </c>
      <c r="G6" s="93">
        <f t="shared" si="0"/>
        <v>1.6700000000000002</v>
      </c>
      <c r="H6" s="93">
        <f t="shared" si="0"/>
        <v>71.38</v>
      </c>
      <c r="I6" s="93">
        <f t="shared" si="0"/>
        <v>98.45</v>
      </c>
      <c r="J6" s="93">
        <f t="shared" si="0"/>
        <v>578.20999999999992</v>
      </c>
      <c r="K6" s="93">
        <f t="shared" si="0"/>
        <v>655.38</v>
      </c>
      <c r="L6" s="93">
        <f t="shared" si="0"/>
        <v>451.13000000000005</v>
      </c>
      <c r="M6" s="93">
        <f t="shared" si="0"/>
        <v>310.88000000000005</v>
      </c>
      <c r="N6" s="93">
        <f t="shared" si="0"/>
        <v>477.45</v>
      </c>
    </row>
    <row r="7" spans="2:14" x14ac:dyDescent="0.3">
      <c r="B7" t="s">
        <v>147</v>
      </c>
      <c r="C7" s="93">
        <v>0.45</v>
      </c>
      <c r="D7" s="93">
        <v>0.45</v>
      </c>
      <c r="E7" s="93">
        <v>0.41</v>
      </c>
      <c r="F7" s="93">
        <v>0.33</v>
      </c>
      <c r="G7" s="93">
        <v>0.25</v>
      </c>
      <c r="H7" s="93">
        <v>10.71</v>
      </c>
      <c r="I7" s="93">
        <v>14.77</v>
      </c>
      <c r="J7" s="93">
        <v>86.73</v>
      </c>
      <c r="K7" s="93">
        <v>98.31</v>
      </c>
      <c r="L7" s="93">
        <v>67.67</v>
      </c>
      <c r="M7" s="93">
        <v>46.63</v>
      </c>
      <c r="N7" s="93">
        <v>71.62</v>
      </c>
    </row>
    <row r="8" spans="2:14" x14ac:dyDescent="0.3">
      <c r="B8" t="s">
        <v>148</v>
      </c>
      <c r="C8" s="93">
        <v>0.45</v>
      </c>
      <c r="D8" s="93">
        <v>0.45</v>
      </c>
      <c r="E8" s="93">
        <v>0.41</v>
      </c>
      <c r="F8" s="93">
        <v>0.33</v>
      </c>
      <c r="G8" s="93">
        <v>0.25</v>
      </c>
      <c r="H8" s="93">
        <v>10.71</v>
      </c>
      <c r="I8" s="93">
        <v>14.77</v>
      </c>
      <c r="J8" s="93">
        <v>86.73</v>
      </c>
      <c r="K8" s="93">
        <v>98.31</v>
      </c>
      <c r="L8" s="93">
        <v>67.67</v>
      </c>
      <c r="M8" s="93">
        <v>46.63</v>
      </c>
      <c r="N8" s="93">
        <v>71.62</v>
      </c>
    </row>
    <row r="9" spans="2:14" x14ac:dyDescent="0.3">
      <c r="B9" t="s">
        <v>149</v>
      </c>
      <c r="C9" s="93">
        <v>1.95</v>
      </c>
      <c r="D9" s="93">
        <v>1.95</v>
      </c>
      <c r="E9" s="93">
        <v>1.77</v>
      </c>
      <c r="F9" s="93">
        <v>1.42</v>
      </c>
      <c r="G9" s="93">
        <v>1.0900000000000001</v>
      </c>
      <c r="H9" s="93">
        <v>46.39</v>
      </c>
      <c r="I9" s="93">
        <v>63.99</v>
      </c>
      <c r="J9" s="93">
        <v>375.84</v>
      </c>
      <c r="K9" s="93">
        <v>425.99</v>
      </c>
      <c r="L9" s="93">
        <v>293.23</v>
      </c>
      <c r="M9" s="93">
        <v>202.08</v>
      </c>
      <c r="N9" s="93">
        <v>310.33999999999997</v>
      </c>
    </row>
    <row r="10" spans="2:14" x14ac:dyDescent="0.3">
      <c r="B10" t="s">
        <v>150</v>
      </c>
      <c r="C10" s="93">
        <v>0.15</v>
      </c>
      <c r="D10" s="93">
        <v>0.15</v>
      </c>
      <c r="E10" s="93">
        <v>0.14000000000000001</v>
      </c>
      <c r="F10" s="93">
        <v>0.11</v>
      </c>
      <c r="G10" s="93">
        <v>0.08</v>
      </c>
      <c r="H10" s="93">
        <v>3.57</v>
      </c>
      <c r="I10" s="93">
        <v>4.92</v>
      </c>
      <c r="J10" s="93">
        <v>28.91</v>
      </c>
      <c r="K10" s="93">
        <v>32.770000000000003</v>
      </c>
      <c r="L10" s="93">
        <v>22.56</v>
      </c>
      <c r="M10" s="93">
        <v>15.54</v>
      </c>
      <c r="N10" s="93">
        <v>23.87</v>
      </c>
    </row>
    <row r="11" spans="2:14" x14ac:dyDescent="0.3">
      <c r="B11" s="20" t="s">
        <v>151</v>
      </c>
      <c r="C11" s="93">
        <f t="shared" ref="C11:N11" si="1">SUM(C12:C15)</f>
        <v>280</v>
      </c>
      <c r="D11" s="93">
        <f t="shared" si="1"/>
        <v>350</v>
      </c>
      <c r="E11" s="93">
        <f t="shared" si="1"/>
        <v>433.34</v>
      </c>
      <c r="F11" s="93">
        <f t="shared" si="1"/>
        <v>514.37</v>
      </c>
      <c r="G11" s="93">
        <f t="shared" si="1"/>
        <v>509.26</v>
      </c>
      <c r="H11" s="93">
        <f t="shared" si="1"/>
        <v>635.02</v>
      </c>
      <c r="I11" s="93">
        <f t="shared" si="1"/>
        <v>771.42</v>
      </c>
      <c r="J11" s="93">
        <f t="shared" si="1"/>
        <v>1472.65</v>
      </c>
      <c r="K11" s="93">
        <f t="shared" si="1"/>
        <v>1998.71</v>
      </c>
      <c r="L11" s="93">
        <f t="shared" si="1"/>
        <v>1996.6100000000001</v>
      </c>
      <c r="M11" s="93">
        <f t="shared" si="1"/>
        <v>2091.58</v>
      </c>
      <c r="N11" s="93">
        <f t="shared" si="1"/>
        <v>3028.6099999999997</v>
      </c>
    </row>
    <row r="12" spans="2:14" x14ac:dyDescent="0.3">
      <c r="B12" t="s">
        <v>152</v>
      </c>
      <c r="C12" s="93">
        <v>0</v>
      </c>
      <c r="D12" s="93">
        <v>0</v>
      </c>
      <c r="E12" s="93">
        <v>0</v>
      </c>
      <c r="F12" s="93">
        <v>0</v>
      </c>
      <c r="G12" s="93">
        <v>0</v>
      </c>
      <c r="H12" s="93">
        <v>0</v>
      </c>
      <c r="I12" s="93">
        <v>0</v>
      </c>
      <c r="J12" s="93">
        <v>0</v>
      </c>
      <c r="K12" s="93">
        <v>0</v>
      </c>
      <c r="L12" s="93">
        <v>0</v>
      </c>
      <c r="M12" s="93">
        <v>0</v>
      </c>
      <c r="N12" s="93">
        <v>0</v>
      </c>
    </row>
    <row r="13" spans="2:14" x14ac:dyDescent="0.3">
      <c r="B13" t="s">
        <v>153</v>
      </c>
      <c r="C13" s="93">
        <v>106.4</v>
      </c>
      <c r="D13" s="93">
        <v>133</v>
      </c>
      <c r="E13" s="93">
        <v>164.67</v>
      </c>
      <c r="F13" s="93">
        <v>195.46</v>
      </c>
      <c r="G13" s="93">
        <v>193.52</v>
      </c>
      <c r="H13" s="93">
        <v>241.31</v>
      </c>
      <c r="I13" s="93">
        <v>293.14</v>
      </c>
      <c r="J13" s="93">
        <v>559.61</v>
      </c>
      <c r="K13" s="93">
        <v>759.51</v>
      </c>
      <c r="L13" s="93">
        <v>758.71</v>
      </c>
      <c r="M13" s="93">
        <v>794.8</v>
      </c>
      <c r="N13" s="93">
        <v>1150.8699999999999</v>
      </c>
    </row>
    <row r="14" spans="2:14" x14ac:dyDescent="0.3">
      <c r="B14" t="s">
        <v>154</v>
      </c>
      <c r="C14" s="93">
        <v>39.200000000000003</v>
      </c>
      <c r="D14" s="93">
        <v>49</v>
      </c>
      <c r="E14" s="93">
        <v>60.67</v>
      </c>
      <c r="F14" s="93">
        <v>72.010000000000005</v>
      </c>
      <c r="G14" s="93">
        <v>71.3</v>
      </c>
      <c r="H14" s="93">
        <v>88.9</v>
      </c>
      <c r="I14" s="93">
        <v>108</v>
      </c>
      <c r="J14" s="93">
        <v>206.17</v>
      </c>
      <c r="K14" s="93">
        <v>279.82</v>
      </c>
      <c r="L14" s="93">
        <v>279.52999999999997</v>
      </c>
      <c r="M14" s="93">
        <v>292.82</v>
      </c>
      <c r="N14" s="93">
        <v>424.01</v>
      </c>
    </row>
    <row r="15" spans="2:14" x14ac:dyDescent="0.3">
      <c r="B15" t="s">
        <v>155</v>
      </c>
      <c r="C15" s="91">
        <v>134.4</v>
      </c>
      <c r="D15" s="91">
        <v>168</v>
      </c>
      <c r="E15" s="91">
        <v>208</v>
      </c>
      <c r="F15" s="91">
        <v>246.9</v>
      </c>
      <c r="G15" s="91">
        <v>244.44</v>
      </c>
      <c r="H15" s="91">
        <v>304.81</v>
      </c>
      <c r="I15" s="91">
        <v>370.28</v>
      </c>
      <c r="J15" s="91">
        <v>706.87</v>
      </c>
      <c r="K15" s="91">
        <v>959.38</v>
      </c>
      <c r="L15" s="91">
        <v>958.37</v>
      </c>
      <c r="M15" s="91">
        <v>1003.96</v>
      </c>
      <c r="N15" s="91">
        <v>1453.73</v>
      </c>
    </row>
    <row r="16" spans="2:14" x14ac:dyDescent="0.3">
      <c r="B16" s="133" t="s">
        <v>156</v>
      </c>
      <c r="C16" s="134">
        <f t="shared" ref="C16:N16" si="2">C4+C5+C6+C11</f>
        <v>1143</v>
      </c>
      <c r="D16" s="134">
        <f t="shared" si="2"/>
        <v>1283</v>
      </c>
      <c r="E16" s="134">
        <f t="shared" si="2"/>
        <v>2335.33</v>
      </c>
      <c r="F16" s="134">
        <f t="shared" si="2"/>
        <v>2643.7599999999998</v>
      </c>
      <c r="G16" s="134">
        <f t="shared" si="2"/>
        <v>2855.6099999999997</v>
      </c>
      <c r="H16" s="134">
        <f t="shared" si="2"/>
        <v>3092.16</v>
      </c>
      <c r="I16" s="134">
        <f t="shared" si="2"/>
        <v>3665.5399999999995</v>
      </c>
      <c r="J16" s="134">
        <f t="shared" si="2"/>
        <v>5419.09</v>
      </c>
      <c r="K16" s="134">
        <f t="shared" si="2"/>
        <v>6619.17</v>
      </c>
      <c r="L16" s="134">
        <f t="shared" si="2"/>
        <v>7405.4500000000007</v>
      </c>
      <c r="M16" s="134">
        <f t="shared" si="2"/>
        <v>8721.5300000000007</v>
      </c>
      <c r="N16" s="134">
        <f t="shared" si="2"/>
        <v>11343.919999999998</v>
      </c>
    </row>
    <row r="17" spans="2:14" x14ac:dyDescent="0.3"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</row>
    <row r="18" spans="2:14" x14ac:dyDescent="0.3">
      <c r="B18" s="20" t="s">
        <v>157</v>
      </c>
      <c r="C18" s="91">
        <f t="shared" ref="C18:N18" si="3">C27-C28</f>
        <v>220</v>
      </c>
      <c r="D18" s="91">
        <f t="shared" si="3"/>
        <v>379.98999999999984</v>
      </c>
      <c r="E18" s="91">
        <f t="shared" si="3"/>
        <v>535.95000000000027</v>
      </c>
      <c r="F18" s="91">
        <f t="shared" si="3"/>
        <v>512.15000000000009</v>
      </c>
      <c r="G18" s="91">
        <f t="shared" si="3"/>
        <v>400.8</v>
      </c>
      <c r="H18" s="91">
        <f t="shared" si="3"/>
        <v>431.53000000000003</v>
      </c>
      <c r="I18" s="91">
        <f t="shared" si="3"/>
        <v>456.94000000000005</v>
      </c>
      <c r="J18" s="91">
        <f t="shared" si="3"/>
        <v>1533.5699999999995</v>
      </c>
      <c r="K18" s="91">
        <f t="shared" si="3"/>
        <v>2341.3500000000004</v>
      </c>
      <c r="L18" s="91">
        <f t="shared" si="3"/>
        <v>2221.4499999999998</v>
      </c>
      <c r="M18" s="91">
        <f t="shared" si="3"/>
        <v>2541.0699999999993</v>
      </c>
      <c r="N18" s="91">
        <f t="shared" si="3"/>
        <v>2855.9800000000005</v>
      </c>
    </row>
    <row r="19" spans="2:14" x14ac:dyDescent="0.3">
      <c r="B19" t="s">
        <v>158</v>
      </c>
      <c r="C19" s="93">
        <v>12</v>
      </c>
      <c r="D19" s="93">
        <v>20.73</v>
      </c>
      <c r="E19" s="93">
        <v>29.23</v>
      </c>
      <c r="F19" s="93">
        <v>27.94</v>
      </c>
      <c r="G19" s="93">
        <v>21.86</v>
      </c>
      <c r="H19" s="93">
        <v>23.54</v>
      </c>
      <c r="I19" s="93">
        <v>24.92</v>
      </c>
      <c r="J19" s="93">
        <v>83.65</v>
      </c>
      <c r="K19" s="93">
        <v>127.71</v>
      </c>
      <c r="L19" s="93">
        <v>121.17</v>
      </c>
      <c r="M19" s="93">
        <v>138.6</v>
      </c>
      <c r="N19" s="93">
        <v>155.78</v>
      </c>
    </row>
    <row r="20" spans="2:14" x14ac:dyDescent="0.3">
      <c r="B20" t="s">
        <v>159</v>
      </c>
      <c r="C20" s="93">
        <v>128</v>
      </c>
      <c r="D20" s="93">
        <v>221.09</v>
      </c>
      <c r="E20" s="93">
        <v>311.83</v>
      </c>
      <c r="F20" s="93">
        <v>297.98</v>
      </c>
      <c r="G20" s="93">
        <v>233.19</v>
      </c>
      <c r="H20" s="93">
        <v>251.07</v>
      </c>
      <c r="I20" s="93">
        <v>265.86</v>
      </c>
      <c r="J20" s="93">
        <v>892.26</v>
      </c>
      <c r="K20" s="93">
        <v>1362.23</v>
      </c>
      <c r="L20" s="93">
        <v>1292.49</v>
      </c>
      <c r="M20" s="93">
        <v>1478.45</v>
      </c>
      <c r="N20" s="93">
        <v>1661.66</v>
      </c>
    </row>
    <row r="21" spans="2:14" x14ac:dyDescent="0.3">
      <c r="B21" t="s">
        <v>160</v>
      </c>
      <c r="C21" s="93">
        <v>112</v>
      </c>
      <c r="D21" s="93">
        <v>193.45</v>
      </c>
      <c r="E21" s="93">
        <v>272.85000000000002</v>
      </c>
      <c r="F21" s="93">
        <v>260.73</v>
      </c>
      <c r="G21" s="93">
        <v>204.04</v>
      </c>
      <c r="H21" s="93">
        <v>219.69</v>
      </c>
      <c r="I21" s="93">
        <v>232.62</v>
      </c>
      <c r="J21" s="93">
        <v>780.73</v>
      </c>
      <c r="K21" s="93">
        <v>1191.95</v>
      </c>
      <c r="L21" s="93">
        <v>1130.93</v>
      </c>
      <c r="M21" s="93">
        <v>1293.6400000000001</v>
      </c>
      <c r="N21" s="93">
        <v>1453.95</v>
      </c>
    </row>
    <row r="22" spans="2:14" x14ac:dyDescent="0.3">
      <c r="B22" t="s">
        <v>161</v>
      </c>
      <c r="C22" s="93">
        <v>32</v>
      </c>
      <c r="D22" s="93">
        <v>55.27</v>
      </c>
      <c r="E22" s="93">
        <v>77.959999999999994</v>
      </c>
      <c r="F22" s="93">
        <v>74.489999999999995</v>
      </c>
      <c r="G22" s="93">
        <v>58.3</v>
      </c>
      <c r="H22" s="93">
        <v>62.77</v>
      </c>
      <c r="I22" s="93">
        <v>66.459999999999994</v>
      </c>
      <c r="J22" s="93">
        <v>223.06</v>
      </c>
      <c r="K22" s="93">
        <v>340.56</v>
      </c>
      <c r="L22" s="93">
        <v>323.12</v>
      </c>
      <c r="M22" s="93">
        <v>369.61</v>
      </c>
      <c r="N22" s="93">
        <v>415.42</v>
      </c>
    </row>
    <row r="23" spans="2:14" x14ac:dyDescent="0.3">
      <c r="B23" t="s">
        <v>162</v>
      </c>
      <c r="C23" s="93">
        <v>36</v>
      </c>
      <c r="D23" s="93">
        <v>62.18</v>
      </c>
      <c r="E23" s="93">
        <v>87.7</v>
      </c>
      <c r="F23" s="93">
        <v>83.81</v>
      </c>
      <c r="G23" s="93">
        <v>65.58</v>
      </c>
      <c r="H23" s="93">
        <v>70.61</v>
      </c>
      <c r="I23" s="93">
        <v>74.77</v>
      </c>
      <c r="J23" s="93">
        <v>250.95</v>
      </c>
      <c r="K23" s="93">
        <v>383.13</v>
      </c>
      <c r="L23" s="93">
        <v>363.51</v>
      </c>
      <c r="M23" s="93">
        <v>415.81</v>
      </c>
      <c r="N23" s="93">
        <v>467.34</v>
      </c>
    </row>
    <row r="24" spans="2:14" x14ac:dyDescent="0.3">
      <c r="B24" t="s">
        <v>163</v>
      </c>
      <c r="C24" s="93">
        <v>4</v>
      </c>
      <c r="D24" s="93">
        <v>6.91</v>
      </c>
      <c r="E24" s="93">
        <v>9.74</v>
      </c>
      <c r="F24" s="93">
        <v>9.31</v>
      </c>
      <c r="G24" s="93">
        <v>7.29</v>
      </c>
      <c r="H24" s="93">
        <v>7.85</v>
      </c>
      <c r="I24" s="93">
        <v>8.31</v>
      </c>
      <c r="J24" s="93">
        <v>27.88</v>
      </c>
      <c r="K24" s="93">
        <v>42.57</v>
      </c>
      <c r="L24" s="93">
        <v>40.39</v>
      </c>
      <c r="M24" s="93">
        <v>46.2</v>
      </c>
      <c r="N24" s="93">
        <v>51.93</v>
      </c>
    </row>
    <row r="25" spans="2:14" x14ac:dyDescent="0.3">
      <c r="B25" t="s">
        <v>164</v>
      </c>
      <c r="C25" s="93">
        <v>48</v>
      </c>
      <c r="D25" s="93">
        <v>82.91</v>
      </c>
      <c r="E25" s="93">
        <v>116.94</v>
      </c>
      <c r="F25" s="93">
        <v>111.74</v>
      </c>
      <c r="G25" s="93">
        <v>87.45</v>
      </c>
      <c r="H25" s="93">
        <v>94.15</v>
      </c>
      <c r="I25" s="93">
        <v>99.7</v>
      </c>
      <c r="J25" s="93">
        <v>334.6</v>
      </c>
      <c r="K25" s="93">
        <v>510.84</v>
      </c>
      <c r="L25" s="93">
        <v>484.68</v>
      </c>
      <c r="M25" s="93">
        <v>554.41999999999996</v>
      </c>
      <c r="N25" s="93">
        <v>623.12</v>
      </c>
    </row>
    <row r="26" spans="2:14" x14ac:dyDescent="0.3">
      <c r="B26" t="s">
        <v>165</v>
      </c>
      <c r="C26" s="93">
        <v>28</v>
      </c>
      <c r="D26" s="93">
        <v>48.36</v>
      </c>
      <c r="E26" s="93">
        <v>68.209999999999994</v>
      </c>
      <c r="F26" s="93">
        <v>65.180000000000007</v>
      </c>
      <c r="G26" s="93">
        <v>51.01</v>
      </c>
      <c r="H26" s="93">
        <v>54.92</v>
      </c>
      <c r="I26" s="93">
        <v>58.16</v>
      </c>
      <c r="J26" s="93">
        <v>195.18</v>
      </c>
      <c r="K26" s="93">
        <v>297.99</v>
      </c>
      <c r="L26" s="93">
        <v>282.73</v>
      </c>
      <c r="M26" s="93">
        <v>323.41000000000003</v>
      </c>
      <c r="N26" s="93">
        <v>363.49</v>
      </c>
    </row>
    <row r="27" spans="2:14" x14ac:dyDescent="0.3">
      <c r="B27" s="20" t="s">
        <v>79</v>
      </c>
      <c r="C27" s="94">
        <f t="shared" ref="C27:N27" si="4">SUM(C19:C26)</f>
        <v>400</v>
      </c>
      <c r="D27" s="94">
        <f t="shared" si="4"/>
        <v>690.89999999999986</v>
      </c>
      <c r="E27" s="94">
        <f t="shared" si="4"/>
        <v>974.46000000000026</v>
      </c>
      <c r="F27" s="94">
        <f t="shared" si="4"/>
        <v>931.18000000000006</v>
      </c>
      <c r="G27" s="94">
        <f t="shared" si="4"/>
        <v>728.72</v>
      </c>
      <c r="H27" s="94">
        <f t="shared" si="4"/>
        <v>784.6</v>
      </c>
      <c r="I27" s="94">
        <f t="shared" si="4"/>
        <v>830.80000000000007</v>
      </c>
      <c r="J27" s="94">
        <f t="shared" si="4"/>
        <v>2788.3099999999995</v>
      </c>
      <c r="K27" s="94">
        <f t="shared" si="4"/>
        <v>4256.9800000000005</v>
      </c>
      <c r="L27" s="94">
        <f t="shared" si="4"/>
        <v>4039.02</v>
      </c>
      <c r="M27" s="94">
        <f t="shared" si="4"/>
        <v>4620.1399999999994</v>
      </c>
      <c r="N27" s="94">
        <f t="shared" si="4"/>
        <v>5192.6900000000005</v>
      </c>
    </row>
    <row r="28" spans="2:14" x14ac:dyDescent="0.3">
      <c r="B28" s="20" t="s">
        <v>80</v>
      </c>
      <c r="C28" s="91">
        <v>180</v>
      </c>
      <c r="D28" s="91">
        <v>310.91000000000003</v>
      </c>
      <c r="E28" s="91">
        <v>438.51</v>
      </c>
      <c r="F28" s="91">
        <v>419.03</v>
      </c>
      <c r="G28" s="91">
        <v>327.92</v>
      </c>
      <c r="H28" s="91">
        <v>353.07</v>
      </c>
      <c r="I28" s="91">
        <v>373.86</v>
      </c>
      <c r="J28" s="91">
        <v>1254.74</v>
      </c>
      <c r="K28" s="91">
        <v>1915.63</v>
      </c>
      <c r="L28" s="91">
        <v>1817.57</v>
      </c>
      <c r="M28" s="91">
        <v>2079.0700000000002</v>
      </c>
      <c r="N28" s="91">
        <v>2336.71</v>
      </c>
    </row>
    <row r="29" spans="2:14" x14ac:dyDescent="0.3">
      <c r="B29" s="88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</row>
    <row r="30" spans="2:14" x14ac:dyDescent="0.3">
      <c r="B30" s="20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</row>
    <row r="31" spans="2:14" x14ac:dyDescent="0.3">
      <c r="B31" s="20" t="s">
        <v>166</v>
      </c>
      <c r="C31" s="93">
        <v>15</v>
      </c>
      <c r="D31" s="93">
        <v>20</v>
      </c>
      <c r="E31" s="93">
        <v>28.96</v>
      </c>
      <c r="F31" s="93">
        <v>5.24</v>
      </c>
      <c r="G31" s="93">
        <v>31.56</v>
      </c>
      <c r="H31" s="93">
        <v>30.34</v>
      </c>
      <c r="I31" s="93">
        <v>12.18</v>
      </c>
      <c r="J31" s="93">
        <v>107.12</v>
      </c>
      <c r="K31" s="93">
        <v>16.14</v>
      </c>
      <c r="L31" s="93">
        <v>33.53</v>
      </c>
      <c r="M31" s="93">
        <v>77.36</v>
      </c>
      <c r="N31" s="93">
        <v>37.58</v>
      </c>
    </row>
    <row r="32" spans="2:14" x14ac:dyDescent="0.3">
      <c r="B32" s="20" t="s">
        <v>167</v>
      </c>
      <c r="C32" s="93">
        <v>420</v>
      </c>
      <c r="D32" s="93">
        <v>520</v>
      </c>
      <c r="E32" s="93">
        <v>683.91</v>
      </c>
      <c r="F32" s="93">
        <v>879.74</v>
      </c>
      <c r="G32" s="93">
        <v>764.12</v>
      </c>
      <c r="H32" s="93">
        <v>978.57</v>
      </c>
      <c r="I32" s="93">
        <v>999.62</v>
      </c>
      <c r="J32" s="93">
        <v>822.46</v>
      </c>
      <c r="K32" s="93">
        <v>639.57000000000005</v>
      </c>
      <c r="L32" s="93">
        <v>826.57</v>
      </c>
      <c r="M32" s="93">
        <v>980.32</v>
      </c>
      <c r="N32" s="93">
        <v>1614.77</v>
      </c>
    </row>
    <row r="33" spans="2:28" x14ac:dyDescent="0.3">
      <c r="B33" s="2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</row>
    <row r="34" spans="2:28" x14ac:dyDescent="0.3">
      <c r="B34" s="20" t="s">
        <v>168</v>
      </c>
      <c r="C34" s="91">
        <f t="shared" ref="C34:N34" si="5">SUM(C35:C39)</f>
        <v>488</v>
      </c>
      <c r="D34" s="91">
        <f t="shared" si="5"/>
        <v>363</v>
      </c>
      <c r="E34" s="91">
        <f t="shared" si="5"/>
        <v>1086.48</v>
      </c>
      <c r="F34" s="91">
        <f t="shared" si="5"/>
        <v>1246.6400000000001</v>
      </c>
      <c r="G34" s="91">
        <f t="shared" si="5"/>
        <v>1659.13</v>
      </c>
      <c r="H34" s="91">
        <f t="shared" si="5"/>
        <v>1651.72</v>
      </c>
      <c r="I34" s="91">
        <f t="shared" si="5"/>
        <v>2196.79</v>
      </c>
      <c r="J34" s="91">
        <f t="shared" si="5"/>
        <v>2955.95</v>
      </c>
      <c r="K34" s="91">
        <f t="shared" si="5"/>
        <v>3622.11</v>
      </c>
      <c r="L34" s="91">
        <f t="shared" si="5"/>
        <v>4323.88</v>
      </c>
      <c r="M34" s="91">
        <f t="shared" si="5"/>
        <v>5122.79</v>
      </c>
      <c r="N34" s="91">
        <f t="shared" si="5"/>
        <v>6835.5899999999992</v>
      </c>
    </row>
    <row r="35" spans="2:28" x14ac:dyDescent="0.3">
      <c r="B35" t="s">
        <v>169</v>
      </c>
      <c r="C35" s="93">
        <v>0</v>
      </c>
      <c r="D35" s="93">
        <v>0</v>
      </c>
      <c r="E35" s="93">
        <v>0</v>
      </c>
      <c r="F35" s="93">
        <v>0</v>
      </c>
      <c r="G35" s="93">
        <v>0</v>
      </c>
      <c r="H35" s="93">
        <v>0</v>
      </c>
      <c r="I35" s="93">
        <v>0</v>
      </c>
      <c r="J35" s="93">
        <v>0</v>
      </c>
      <c r="K35" s="93">
        <v>0</v>
      </c>
      <c r="L35" s="93">
        <v>0</v>
      </c>
      <c r="M35" s="93">
        <v>0</v>
      </c>
      <c r="N35" s="93">
        <v>0</v>
      </c>
    </row>
    <row r="36" spans="2:28" x14ac:dyDescent="0.3">
      <c r="B36" t="s">
        <v>170</v>
      </c>
      <c r="C36" s="93">
        <v>220</v>
      </c>
      <c r="D36" s="93">
        <v>250</v>
      </c>
      <c r="E36" s="93">
        <v>475.38</v>
      </c>
      <c r="F36" s="93">
        <v>484.74</v>
      </c>
      <c r="G36" s="93">
        <v>492.3</v>
      </c>
      <c r="H36" s="93">
        <v>592.20000000000005</v>
      </c>
      <c r="I36" s="93">
        <v>570.9</v>
      </c>
      <c r="J36" s="93">
        <v>948.43</v>
      </c>
      <c r="K36" s="93">
        <v>1570.46</v>
      </c>
      <c r="L36" s="93">
        <v>1676.11</v>
      </c>
      <c r="M36" s="93">
        <v>2679.17</v>
      </c>
      <c r="N36" s="93">
        <v>3334.39</v>
      </c>
    </row>
    <row r="37" spans="2:28" x14ac:dyDescent="0.3">
      <c r="B37" t="s">
        <v>171</v>
      </c>
      <c r="C37" s="93">
        <v>90</v>
      </c>
      <c r="D37" s="93">
        <v>95</v>
      </c>
      <c r="E37" s="93">
        <v>150.96</v>
      </c>
      <c r="F37" s="93">
        <v>241.4</v>
      </c>
      <c r="G37" s="93">
        <v>672.88</v>
      </c>
      <c r="H37" s="93">
        <v>457.22</v>
      </c>
      <c r="I37" s="93">
        <v>980.9</v>
      </c>
      <c r="J37" s="93">
        <v>914.46</v>
      </c>
      <c r="K37" s="93">
        <v>903.28</v>
      </c>
      <c r="L37" s="93">
        <v>1022.89</v>
      </c>
      <c r="M37" s="93">
        <v>1025.47</v>
      </c>
      <c r="N37" s="93">
        <v>1218.25</v>
      </c>
    </row>
    <row r="38" spans="2:28" x14ac:dyDescent="0.3">
      <c r="B38" t="s">
        <v>172</v>
      </c>
      <c r="C38" s="93">
        <v>21.36</v>
      </c>
      <c r="D38" s="93">
        <v>2.16</v>
      </c>
      <c r="E38" s="93">
        <v>55.22</v>
      </c>
      <c r="F38" s="93">
        <v>62.46</v>
      </c>
      <c r="G38" s="93">
        <v>59.27</v>
      </c>
      <c r="H38" s="93">
        <v>72.28</v>
      </c>
      <c r="I38" s="93">
        <v>77.400000000000006</v>
      </c>
      <c r="J38" s="93">
        <v>131.16999999999999</v>
      </c>
      <c r="K38" s="93">
        <v>137.80000000000001</v>
      </c>
      <c r="L38" s="93">
        <v>194.99</v>
      </c>
      <c r="M38" s="93">
        <v>170.18</v>
      </c>
      <c r="N38" s="93">
        <v>273.95</v>
      </c>
    </row>
    <row r="39" spans="2:28" x14ac:dyDescent="0.3">
      <c r="B39" t="s">
        <v>173</v>
      </c>
      <c r="C39" s="136">
        <v>156.63999999999999</v>
      </c>
      <c r="D39" s="136">
        <v>15.84</v>
      </c>
      <c r="E39" s="136">
        <v>404.92</v>
      </c>
      <c r="F39" s="136">
        <v>458.04</v>
      </c>
      <c r="G39" s="136">
        <v>434.68</v>
      </c>
      <c r="H39" s="136">
        <v>530.02</v>
      </c>
      <c r="I39" s="136">
        <v>567.59</v>
      </c>
      <c r="J39" s="136">
        <v>961.89</v>
      </c>
      <c r="K39" s="136">
        <v>1010.57</v>
      </c>
      <c r="L39" s="136">
        <v>1429.89</v>
      </c>
      <c r="M39" s="136">
        <v>1247.97</v>
      </c>
      <c r="N39" s="136">
        <v>2009</v>
      </c>
    </row>
    <row r="40" spans="2:28" x14ac:dyDescent="0.3">
      <c r="B40" s="133" t="s">
        <v>174</v>
      </c>
      <c r="C40" s="134">
        <f t="shared" ref="C40:N40" si="6">C18+C31+C32+C34</f>
        <v>1143</v>
      </c>
      <c r="D40" s="134">
        <f t="shared" si="6"/>
        <v>1282.9899999999998</v>
      </c>
      <c r="E40" s="134">
        <f t="shared" si="6"/>
        <v>2335.3000000000002</v>
      </c>
      <c r="F40" s="134">
        <f t="shared" si="6"/>
        <v>2643.7700000000004</v>
      </c>
      <c r="G40" s="134">
        <f t="shared" si="6"/>
        <v>2855.61</v>
      </c>
      <c r="H40" s="134">
        <f t="shared" si="6"/>
        <v>3092.16</v>
      </c>
      <c r="I40" s="134">
        <f t="shared" si="6"/>
        <v>3665.5299999999997</v>
      </c>
      <c r="J40" s="134">
        <f t="shared" si="6"/>
        <v>5419.0999999999995</v>
      </c>
      <c r="K40" s="134">
        <f t="shared" si="6"/>
        <v>6619.17</v>
      </c>
      <c r="L40" s="134">
        <f t="shared" si="6"/>
        <v>7405.43</v>
      </c>
      <c r="M40" s="134">
        <f t="shared" si="6"/>
        <v>8721.5399999999991</v>
      </c>
      <c r="N40" s="134">
        <f t="shared" si="6"/>
        <v>11343.919999999998</v>
      </c>
    </row>
    <row r="43" spans="2:28" x14ac:dyDescent="0.3">
      <c r="B43" s="1" t="s">
        <v>175</v>
      </c>
      <c r="C43" s="137">
        <v>42064</v>
      </c>
      <c r="D43" s="137">
        <v>42430</v>
      </c>
      <c r="E43" s="137">
        <v>42795</v>
      </c>
      <c r="F43" s="137">
        <v>43160</v>
      </c>
      <c r="G43" s="137">
        <v>43525</v>
      </c>
      <c r="H43" s="137">
        <v>43891</v>
      </c>
      <c r="I43" s="137">
        <v>44256</v>
      </c>
      <c r="J43" s="137">
        <v>44621</v>
      </c>
      <c r="K43" s="137">
        <v>44986</v>
      </c>
      <c r="L43" s="137">
        <v>45352</v>
      </c>
      <c r="M43" s="137">
        <v>45717</v>
      </c>
      <c r="N43" s="137">
        <v>46082</v>
      </c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</row>
    <row r="44" spans="2:28" x14ac:dyDescent="0.3">
      <c r="B44" t="s">
        <v>176</v>
      </c>
      <c r="C44" s="91">
        <f t="shared" ref="C44:N44" si="7">C45+C50+C51</f>
        <v>312</v>
      </c>
      <c r="D44" s="91">
        <f t="shared" si="7"/>
        <v>254</v>
      </c>
      <c r="E44" s="91">
        <f t="shared" si="7"/>
        <v>286.41000000000003</v>
      </c>
      <c r="F44" s="91">
        <f t="shared" si="7"/>
        <v>421.19</v>
      </c>
      <c r="G44" s="91">
        <f t="shared" si="7"/>
        <v>432.31000000000006</v>
      </c>
      <c r="H44" s="91">
        <f t="shared" si="7"/>
        <v>351.59</v>
      </c>
      <c r="I44" s="91">
        <f t="shared" si="7"/>
        <v>735.93</v>
      </c>
      <c r="J44" s="91">
        <f t="shared" si="7"/>
        <v>844.99000000000012</v>
      </c>
      <c r="K44" s="91">
        <f t="shared" si="7"/>
        <v>955.76</v>
      </c>
      <c r="L44" s="91">
        <f t="shared" si="7"/>
        <v>1302.1100000000001</v>
      </c>
      <c r="M44" s="91">
        <f t="shared" si="7"/>
        <v>1156.92</v>
      </c>
      <c r="N44" s="91">
        <f t="shared" si="7"/>
        <v>1767.1299999999997</v>
      </c>
      <c r="Q44" s="27"/>
      <c r="R44" s="27"/>
      <c r="S44" s="27"/>
      <c r="T44" s="27"/>
      <c r="U44" s="27"/>
      <c r="V44" s="27"/>
      <c r="W44" s="27"/>
      <c r="Y44" s="27"/>
      <c r="Z44" s="27"/>
      <c r="AA44" s="27"/>
      <c r="AB44" s="27"/>
    </row>
    <row r="45" spans="2:28" x14ac:dyDescent="0.3">
      <c r="B45" t="s">
        <v>177</v>
      </c>
      <c r="C45" s="91">
        <v>361.4</v>
      </c>
      <c r="D45" s="91">
        <v>441.7</v>
      </c>
      <c r="E45" s="91">
        <v>549.79</v>
      </c>
      <c r="F45" s="91">
        <v>587.83000000000004</v>
      </c>
      <c r="G45" s="91">
        <v>643.9</v>
      </c>
      <c r="H45" s="91">
        <v>624.64</v>
      </c>
      <c r="I45" s="91">
        <v>790.79</v>
      </c>
      <c r="J45" s="91">
        <v>1102.1300000000001</v>
      </c>
      <c r="K45" s="91">
        <v>1560.09</v>
      </c>
      <c r="L45" s="91">
        <v>1803.7</v>
      </c>
      <c r="M45" s="91">
        <v>2196.35</v>
      </c>
      <c r="N45" s="91">
        <v>2886.85</v>
      </c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 spans="2:28" x14ac:dyDescent="0.3">
      <c r="B46" t="s">
        <v>178</v>
      </c>
      <c r="C46" s="91">
        <v>0</v>
      </c>
      <c r="D46" s="91">
        <v>-30</v>
      </c>
      <c r="E46" s="91">
        <v>-225.38</v>
      </c>
      <c r="F46" s="91">
        <v>-9.36</v>
      </c>
      <c r="G46" s="91">
        <v>-7.56</v>
      </c>
      <c r="H46" s="91">
        <v>-99.9</v>
      </c>
      <c r="I46" s="91">
        <v>21.3</v>
      </c>
      <c r="J46" s="91">
        <v>-377.53</v>
      </c>
      <c r="K46" s="91">
        <v>-622.03</v>
      </c>
      <c r="L46" s="91">
        <v>-105.65</v>
      </c>
      <c r="M46" s="91">
        <v>-1003.06</v>
      </c>
      <c r="N46" s="91">
        <v>-655.22</v>
      </c>
      <c r="X46" s="27"/>
    </row>
    <row r="47" spans="2:28" x14ac:dyDescent="0.3">
      <c r="B47" t="s">
        <v>179</v>
      </c>
      <c r="C47" s="91">
        <v>0</v>
      </c>
      <c r="D47" s="91">
        <v>0</v>
      </c>
      <c r="E47" s="91">
        <v>0</v>
      </c>
      <c r="F47" s="91">
        <v>0</v>
      </c>
      <c r="G47" s="91">
        <v>0</v>
      </c>
      <c r="H47" s="91">
        <v>0</v>
      </c>
      <c r="I47" s="91">
        <v>0</v>
      </c>
      <c r="J47" s="91">
        <v>0</v>
      </c>
      <c r="K47" s="91">
        <v>0</v>
      </c>
      <c r="L47" s="91">
        <v>0</v>
      </c>
      <c r="M47" s="91">
        <v>0</v>
      </c>
      <c r="N47" s="91">
        <v>0</v>
      </c>
      <c r="X47" s="27"/>
    </row>
    <row r="48" spans="2:28" x14ac:dyDescent="0.3">
      <c r="B48" t="s">
        <v>180</v>
      </c>
      <c r="C48" s="91">
        <v>0</v>
      </c>
      <c r="D48" s="91">
        <v>26.6</v>
      </c>
      <c r="E48" s="91">
        <v>31.67</v>
      </c>
      <c r="F48" s="91">
        <v>30.8</v>
      </c>
      <c r="G48" s="91">
        <v>-1.95</v>
      </c>
      <c r="H48" s="91">
        <v>47.8</v>
      </c>
      <c r="I48" s="91">
        <v>51.83</v>
      </c>
      <c r="J48" s="91">
        <v>266.47000000000003</v>
      </c>
      <c r="K48" s="91">
        <v>199.9</v>
      </c>
      <c r="L48" s="91">
        <v>-0.79</v>
      </c>
      <c r="M48" s="91">
        <v>36.090000000000003</v>
      </c>
      <c r="N48" s="91">
        <v>356.07</v>
      </c>
      <c r="W48" s="27"/>
    </row>
    <row r="49" spans="2:28" x14ac:dyDescent="0.3">
      <c r="B49" t="s">
        <v>181</v>
      </c>
      <c r="C49" s="91">
        <v>30.6</v>
      </c>
      <c r="D49" s="91">
        <v>-89.3</v>
      </c>
      <c r="E49" s="91">
        <v>29.54</v>
      </c>
      <c r="F49" s="91">
        <v>-81.91</v>
      </c>
      <c r="G49" s="91">
        <v>-67.42</v>
      </c>
      <c r="H49" s="91">
        <v>-108.89</v>
      </c>
      <c r="I49" s="91">
        <v>30.78</v>
      </c>
      <c r="J49" s="91">
        <v>87.81</v>
      </c>
      <c r="K49" s="91">
        <v>137.56</v>
      </c>
      <c r="L49" s="91">
        <v>-41.04</v>
      </c>
      <c r="M49" s="91">
        <v>349.69</v>
      </c>
      <c r="N49" s="91">
        <v>-274.47000000000003</v>
      </c>
    </row>
    <row r="50" spans="2:28" x14ac:dyDescent="0.3">
      <c r="B50" t="s">
        <v>182</v>
      </c>
      <c r="C50" s="91">
        <f t="shared" ref="C50:N50" si="8">SUM(C46:C49)</f>
        <v>30.6</v>
      </c>
      <c r="D50" s="91">
        <f t="shared" si="8"/>
        <v>-92.699999999999989</v>
      </c>
      <c r="E50" s="91">
        <f t="shared" si="8"/>
        <v>-164.17</v>
      </c>
      <c r="F50" s="91">
        <f t="shared" si="8"/>
        <v>-60.47</v>
      </c>
      <c r="G50" s="91">
        <f t="shared" si="8"/>
        <v>-76.930000000000007</v>
      </c>
      <c r="H50" s="91">
        <f t="shared" si="8"/>
        <v>-160.99</v>
      </c>
      <c r="I50" s="91">
        <f t="shared" si="8"/>
        <v>103.91</v>
      </c>
      <c r="J50" s="91">
        <f t="shared" si="8"/>
        <v>-23.249999999999943</v>
      </c>
      <c r="K50" s="91">
        <f t="shared" si="8"/>
        <v>-284.57</v>
      </c>
      <c r="L50" s="91">
        <f t="shared" si="8"/>
        <v>-147.48000000000002</v>
      </c>
      <c r="M50" s="91">
        <f t="shared" si="8"/>
        <v>-617.28</v>
      </c>
      <c r="N50" s="91">
        <f t="shared" si="8"/>
        <v>-573.62000000000012</v>
      </c>
      <c r="X50" s="27"/>
      <c r="AB50" s="27"/>
    </row>
    <row r="51" spans="2:28" x14ac:dyDescent="0.3">
      <c r="B51" t="s">
        <v>183</v>
      </c>
      <c r="C51" s="91">
        <v>-80</v>
      </c>
      <c r="D51" s="91">
        <v>-95</v>
      </c>
      <c r="E51" s="91">
        <v>-99.21</v>
      </c>
      <c r="F51" s="91">
        <v>-106.17</v>
      </c>
      <c r="G51" s="91">
        <v>-134.66</v>
      </c>
      <c r="H51" s="91">
        <v>-112.06</v>
      </c>
      <c r="I51" s="91">
        <v>-158.77000000000001</v>
      </c>
      <c r="J51" s="91">
        <v>-233.89</v>
      </c>
      <c r="K51" s="91">
        <v>-319.76</v>
      </c>
      <c r="L51" s="91">
        <v>-354.11</v>
      </c>
      <c r="M51" s="91">
        <v>-422.15</v>
      </c>
      <c r="N51" s="91">
        <v>-546.1</v>
      </c>
      <c r="T51" s="27"/>
      <c r="V51" s="27"/>
      <c r="W51" s="27"/>
      <c r="X51" s="27"/>
      <c r="Y51" s="27"/>
      <c r="Z51" s="27"/>
      <c r="AA51" s="27"/>
      <c r="AB51" s="27"/>
    </row>
    <row r="53" spans="2:28" x14ac:dyDescent="0.3">
      <c r="B53" t="s">
        <v>184</v>
      </c>
      <c r="C53" s="91">
        <f t="shared" ref="C53:N53" si="9">SUM(C54:C62)</f>
        <v>-230</v>
      </c>
      <c r="D53" s="91">
        <f t="shared" si="9"/>
        <v>-86</v>
      </c>
      <c r="E53" s="91">
        <f t="shared" si="9"/>
        <v>-221.87</v>
      </c>
      <c r="F53" s="91">
        <f t="shared" si="9"/>
        <v>-337.33000000000004</v>
      </c>
      <c r="G53" s="91">
        <f t="shared" si="9"/>
        <v>-233.02999999999997</v>
      </c>
      <c r="H53" s="91">
        <f t="shared" si="9"/>
        <v>-6.4399999999999995</v>
      </c>
      <c r="I53" s="91">
        <f t="shared" si="9"/>
        <v>-539.73</v>
      </c>
      <c r="J53" s="91">
        <f t="shared" si="9"/>
        <v>-971.42</v>
      </c>
      <c r="K53" s="91">
        <f t="shared" si="9"/>
        <v>-382.59</v>
      </c>
      <c r="L53" s="91">
        <f t="shared" si="9"/>
        <v>-524.72</v>
      </c>
      <c r="M53" s="91">
        <f t="shared" si="9"/>
        <v>-516.82999999999993</v>
      </c>
      <c r="N53" s="91">
        <f t="shared" si="9"/>
        <v>-618.46</v>
      </c>
      <c r="T53" s="27"/>
      <c r="Y53" s="27"/>
      <c r="Z53" s="27"/>
      <c r="AB53" s="27"/>
    </row>
    <row r="54" spans="2:28" x14ac:dyDescent="0.3">
      <c r="B54" t="s">
        <v>185</v>
      </c>
      <c r="C54" s="91">
        <v>-126.5</v>
      </c>
      <c r="D54" s="91">
        <v>-47.3</v>
      </c>
      <c r="E54" s="91">
        <v>-122.03</v>
      </c>
      <c r="F54" s="91">
        <v>-185.53</v>
      </c>
      <c r="G54" s="91">
        <v>-128.16999999999999</v>
      </c>
      <c r="H54" s="91">
        <v>-3.54</v>
      </c>
      <c r="I54" s="91">
        <v>-296.85000000000002</v>
      </c>
      <c r="J54" s="91">
        <v>-534.28</v>
      </c>
      <c r="K54" s="91">
        <v>-210.43</v>
      </c>
      <c r="L54" s="91">
        <v>-288.60000000000002</v>
      </c>
      <c r="M54" s="91">
        <v>-284.26</v>
      </c>
      <c r="N54" s="91">
        <v>-340.15</v>
      </c>
      <c r="T54" s="27"/>
      <c r="U54" s="27"/>
      <c r="Y54" s="27"/>
      <c r="Z54" s="27"/>
      <c r="AA54" s="27"/>
      <c r="AB54" s="27"/>
    </row>
    <row r="55" spans="2:28" x14ac:dyDescent="0.3">
      <c r="B55" t="s">
        <v>186</v>
      </c>
      <c r="C55" s="91">
        <v>2.2999999999999998</v>
      </c>
      <c r="D55" s="91">
        <v>0.86</v>
      </c>
      <c r="E55" s="91">
        <v>2.2200000000000002</v>
      </c>
      <c r="F55" s="91">
        <v>3.37</v>
      </c>
      <c r="G55" s="91">
        <v>2.33</v>
      </c>
      <c r="H55" s="91">
        <v>0.06</v>
      </c>
      <c r="I55" s="91">
        <v>5.4</v>
      </c>
      <c r="J55" s="91">
        <v>9.7100000000000009</v>
      </c>
      <c r="K55" s="91">
        <v>3.83</v>
      </c>
      <c r="L55" s="91">
        <v>5.25</v>
      </c>
      <c r="M55" s="91">
        <v>5.17</v>
      </c>
      <c r="N55" s="91">
        <v>6.18</v>
      </c>
    </row>
    <row r="56" spans="2:28" x14ac:dyDescent="0.3">
      <c r="B56" t="s">
        <v>187</v>
      </c>
      <c r="C56" s="91">
        <v>-69</v>
      </c>
      <c r="D56" s="91">
        <v>-25.8</v>
      </c>
      <c r="E56" s="91">
        <v>-66.56</v>
      </c>
      <c r="F56" s="91">
        <v>-101.2</v>
      </c>
      <c r="G56" s="91">
        <v>-69.91</v>
      </c>
      <c r="H56" s="91">
        <v>-1.93</v>
      </c>
      <c r="I56" s="91">
        <v>-161.91999999999999</v>
      </c>
      <c r="J56" s="91">
        <v>-291.42</v>
      </c>
      <c r="K56" s="91">
        <v>-114.78</v>
      </c>
      <c r="L56" s="91">
        <v>-157.41999999999999</v>
      </c>
      <c r="M56" s="91">
        <v>-155.05000000000001</v>
      </c>
      <c r="N56" s="91">
        <v>-185.53</v>
      </c>
    </row>
    <row r="57" spans="2:28" x14ac:dyDescent="0.3">
      <c r="B57" t="s">
        <v>188</v>
      </c>
      <c r="C57" s="91">
        <v>57.5</v>
      </c>
      <c r="D57" s="91">
        <v>21.5</v>
      </c>
      <c r="E57" s="91">
        <v>55.47</v>
      </c>
      <c r="F57" s="91">
        <v>84.33</v>
      </c>
      <c r="G57" s="91">
        <v>58.26</v>
      </c>
      <c r="H57" s="91">
        <v>1.61</v>
      </c>
      <c r="I57" s="91">
        <v>134.93</v>
      </c>
      <c r="J57" s="91">
        <v>242.85</v>
      </c>
      <c r="K57" s="91">
        <v>95.65</v>
      </c>
      <c r="L57" s="91">
        <v>131.18</v>
      </c>
      <c r="M57" s="91">
        <v>129.21</v>
      </c>
      <c r="N57" s="91">
        <v>154.61000000000001</v>
      </c>
      <c r="AB57" s="27"/>
    </row>
    <row r="58" spans="2:28" x14ac:dyDescent="0.3">
      <c r="B58" t="s">
        <v>189</v>
      </c>
      <c r="C58" s="91">
        <v>6.9</v>
      </c>
      <c r="D58" s="91">
        <v>2.58</v>
      </c>
      <c r="E58" s="91">
        <v>6.66</v>
      </c>
      <c r="F58" s="91">
        <v>10.119999999999999</v>
      </c>
      <c r="G58" s="91">
        <v>6.99</v>
      </c>
      <c r="H58" s="91">
        <v>0.19</v>
      </c>
      <c r="I58" s="91">
        <v>16.190000000000001</v>
      </c>
      <c r="J58" s="91">
        <v>29.14</v>
      </c>
      <c r="K58" s="91">
        <v>11.48</v>
      </c>
      <c r="L58" s="91">
        <v>15.74</v>
      </c>
      <c r="M58" s="91">
        <v>15.5</v>
      </c>
      <c r="N58" s="91">
        <v>18.55</v>
      </c>
    </row>
    <row r="59" spans="2:28" x14ac:dyDescent="0.3">
      <c r="B59" t="s">
        <v>190</v>
      </c>
      <c r="C59" s="91">
        <v>2.2999999999999998</v>
      </c>
      <c r="D59" s="91">
        <v>0.86</v>
      </c>
      <c r="E59" s="91">
        <v>2.2200000000000002</v>
      </c>
      <c r="F59" s="91">
        <v>3.37</v>
      </c>
      <c r="G59" s="91">
        <v>2.33</v>
      </c>
      <c r="H59" s="91">
        <v>0.06</v>
      </c>
      <c r="I59" s="91">
        <v>5.4</v>
      </c>
      <c r="J59" s="91">
        <v>9.7100000000000009</v>
      </c>
      <c r="K59" s="91">
        <v>3.83</v>
      </c>
      <c r="L59" s="91">
        <v>5.25</v>
      </c>
      <c r="M59" s="91">
        <v>5.17</v>
      </c>
      <c r="N59" s="91">
        <v>6.18</v>
      </c>
    </row>
    <row r="60" spans="2:28" x14ac:dyDescent="0.3">
      <c r="B60" t="s">
        <v>191</v>
      </c>
      <c r="C60" s="91">
        <v>0</v>
      </c>
      <c r="D60" s="91">
        <v>0</v>
      </c>
      <c r="E60" s="91">
        <v>0</v>
      </c>
      <c r="F60" s="91">
        <v>0</v>
      </c>
      <c r="G60" s="91">
        <v>0</v>
      </c>
      <c r="H60" s="91">
        <v>0</v>
      </c>
      <c r="I60" s="91">
        <v>0</v>
      </c>
      <c r="J60" s="91">
        <v>0</v>
      </c>
      <c r="K60" s="91">
        <v>0</v>
      </c>
      <c r="L60" s="91">
        <v>0</v>
      </c>
      <c r="M60" s="91">
        <v>0</v>
      </c>
      <c r="N60" s="91">
        <v>0</v>
      </c>
    </row>
    <row r="61" spans="2:28" x14ac:dyDescent="0.3">
      <c r="B61" t="s">
        <v>192</v>
      </c>
      <c r="C61" s="91">
        <v>0</v>
      </c>
      <c r="D61" s="91">
        <v>0</v>
      </c>
      <c r="E61" s="91">
        <v>0</v>
      </c>
      <c r="F61" s="91">
        <v>0</v>
      </c>
      <c r="G61" s="91">
        <v>0</v>
      </c>
      <c r="H61" s="91">
        <v>0</v>
      </c>
      <c r="I61" s="91">
        <v>0</v>
      </c>
      <c r="J61" s="91">
        <v>0</v>
      </c>
      <c r="K61" s="91">
        <v>0</v>
      </c>
      <c r="L61" s="91">
        <v>0</v>
      </c>
      <c r="M61" s="91">
        <v>0</v>
      </c>
      <c r="N61" s="91">
        <v>0</v>
      </c>
    </row>
    <row r="62" spans="2:28" x14ac:dyDescent="0.3">
      <c r="B62" t="s">
        <v>193</v>
      </c>
      <c r="C62" s="91">
        <v>-103.5</v>
      </c>
      <c r="D62" s="91">
        <v>-38.700000000000003</v>
      </c>
      <c r="E62" s="91">
        <v>-99.85</v>
      </c>
      <c r="F62" s="91">
        <v>-151.79</v>
      </c>
      <c r="G62" s="91">
        <v>-104.86</v>
      </c>
      <c r="H62" s="91">
        <v>-2.89</v>
      </c>
      <c r="I62" s="91">
        <v>-242.88</v>
      </c>
      <c r="J62" s="91">
        <v>-437.13</v>
      </c>
      <c r="K62" s="91">
        <v>-172.17</v>
      </c>
      <c r="L62" s="91">
        <v>-236.12</v>
      </c>
      <c r="M62" s="91">
        <v>-232.57</v>
      </c>
      <c r="N62" s="91">
        <v>-278.3</v>
      </c>
      <c r="AB62" s="27"/>
    </row>
    <row r="63" spans="2:28" x14ac:dyDescent="0.3">
      <c r="B63" t="s">
        <v>194</v>
      </c>
      <c r="C63" s="91">
        <f t="shared" ref="C63:N63" si="10">SUM(C64:C69)</f>
        <v>-66</v>
      </c>
      <c r="D63" s="91">
        <f t="shared" si="10"/>
        <v>-127</v>
      </c>
      <c r="E63" s="91">
        <f t="shared" si="10"/>
        <v>-58.410000000000004</v>
      </c>
      <c r="F63" s="91">
        <f t="shared" si="10"/>
        <v>-95.61</v>
      </c>
      <c r="G63" s="91">
        <f t="shared" si="10"/>
        <v>-159.85</v>
      </c>
      <c r="H63" s="91">
        <f t="shared" si="10"/>
        <v>-329.1</v>
      </c>
      <c r="I63" s="91">
        <f t="shared" si="10"/>
        <v>-144.26</v>
      </c>
      <c r="J63" s="91">
        <f t="shared" si="10"/>
        <v>182.28000000000003</v>
      </c>
      <c r="K63" s="91">
        <f t="shared" si="10"/>
        <v>-403.96</v>
      </c>
      <c r="L63" s="91">
        <f t="shared" si="10"/>
        <v>-581.88</v>
      </c>
      <c r="M63" s="91">
        <f t="shared" si="10"/>
        <v>-628.20000000000005</v>
      </c>
      <c r="N63" s="91">
        <f t="shared" si="10"/>
        <v>-748.18999999999994</v>
      </c>
      <c r="T63" s="27"/>
      <c r="U63" s="27"/>
      <c r="V63" s="27"/>
      <c r="X63" s="27"/>
      <c r="Y63" s="27"/>
      <c r="Z63" s="27"/>
      <c r="AA63" s="27"/>
      <c r="AB63" s="27"/>
    </row>
    <row r="64" spans="2:28" x14ac:dyDescent="0.3">
      <c r="B64" t="s">
        <v>195</v>
      </c>
      <c r="C64" s="91">
        <v>0</v>
      </c>
      <c r="D64" s="91">
        <v>0</v>
      </c>
      <c r="E64" s="91">
        <v>0</v>
      </c>
      <c r="F64" s="91">
        <v>0</v>
      </c>
      <c r="G64" s="91">
        <v>0</v>
      </c>
      <c r="H64" s="91">
        <v>20.91</v>
      </c>
      <c r="I64" s="91">
        <v>8.1199999999999992</v>
      </c>
      <c r="J64" s="91">
        <v>143.93</v>
      </c>
      <c r="K64" s="91">
        <v>23.14</v>
      </c>
      <c r="L64" s="91">
        <v>0</v>
      </c>
      <c r="M64" s="91">
        <v>0</v>
      </c>
      <c r="N64" s="91">
        <v>49.96</v>
      </c>
      <c r="AB64" s="27"/>
    </row>
    <row r="65" spans="2:28" x14ac:dyDescent="0.3">
      <c r="B65" t="s">
        <v>196</v>
      </c>
      <c r="C65" s="91">
        <v>0</v>
      </c>
      <c r="D65" s="91">
        <v>0</v>
      </c>
      <c r="E65" s="91">
        <v>-0.08</v>
      </c>
      <c r="F65" s="91">
        <v>-0.16</v>
      </c>
      <c r="G65" s="91">
        <v>-0.16</v>
      </c>
      <c r="H65" s="91">
        <v>0</v>
      </c>
      <c r="I65" s="91">
        <v>0</v>
      </c>
      <c r="J65" s="91">
        <v>0</v>
      </c>
      <c r="K65" s="91">
        <v>0</v>
      </c>
      <c r="L65" s="91">
        <v>-61.27</v>
      </c>
      <c r="M65" s="91">
        <v>-42.07</v>
      </c>
      <c r="N65" s="91">
        <v>0</v>
      </c>
    </row>
    <row r="66" spans="2:28" x14ac:dyDescent="0.3">
      <c r="B66" t="s">
        <v>197</v>
      </c>
      <c r="C66" s="91">
        <v>-0.1</v>
      </c>
      <c r="D66" s="91">
        <v>-0.1</v>
      </c>
      <c r="E66" s="91">
        <v>-0.09</v>
      </c>
      <c r="F66" s="91">
        <v>-0.08</v>
      </c>
      <c r="G66" s="91">
        <v>-0.31</v>
      </c>
      <c r="H66" s="91">
        <v>-6.33</v>
      </c>
      <c r="I66" s="91">
        <v>-5.79</v>
      </c>
      <c r="J66" s="91">
        <v>-11.84</v>
      </c>
      <c r="K66" s="91">
        <v>-47.34</v>
      </c>
      <c r="L66" s="91">
        <v>-46.73</v>
      </c>
      <c r="M66" s="91">
        <v>-67.13</v>
      </c>
      <c r="N66" s="91">
        <v>-72.680000000000007</v>
      </c>
    </row>
    <row r="67" spans="2:28" x14ac:dyDescent="0.3">
      <c r="B67" t="s">
        <v>198</v>
      </c>
      <c r="C67" s="91">
        <v>-20</v>
      </c>
      <c r="D67" s="91">
        <v>-40</v>
      </c>
      <c r="E67" s="91">
        <v>-72</v>
      </c>
      <c r="F67" s="91">
        <v>-80</v>
      </c>
      <c r="G67" s="91">
        <v>-87.03</v>
      </c>
      <c r="H67" s="91">
        <v>-91.72</v>
      </c>
      <c r="I67" s="91">
        <v>-152.86000000000001</v>
      </c>
      <c r="J67" s="91">
        <v>-236.93</v>
      </c>
      <c r="K67" s="91">
        <v>-382.15</v>
      </c>
      <c r="L67" s="91">
        <v>-400.56</v>
      </c>
      <c r="M67" s="91">
        <v>-545.51</v>
      </c>
      <c r="N67" s="91">
        <v>-631.04</v>
      </c>
      <c r="T67" s="27"/>
      <c r="U67" s="27"/>
      <c r="V67" s="27"/>
      <c r="X67" s="27"/>
      <c r="Y67" s="27"/>
      <c r="Z67" s="27"/>
      <c r="AA67" s="27"/>
      <c r="AB67" s="27"/>
    </row>
    <row r="68" spans="2:28" x14ac:dyDescent="0.3">
      <c r="B68" t="s">
        <v>199</v>
      </c>
      <c r="C68" s="91">
        <v>-0.55000000000000004</v>
      </c>
      <c r="D68" s="91">
        <v>-0.55000000000000004</v>
      </c>
      <c r="E68" s="91">
        <v>-0.5</v>
      </c>
      <c r="F68" s="91">
        <v>-0.4</v>
      </c>
      <c r="G68" s="91">
        <v>-0.3</v>
      </c>
      <c r="H68" s="91">
        <v>-12.99</v>
      </c>
      <c r="I68" s="91">
        <v>-17.920000000000002</v>
      </c>
      <c r="J68" s="91">
        <v>-105.24</v>
      </c>
      <c r="K68" s="91">
        <v>-119.28</v>
      </c>
      <c r="L68" s="91">
        <v>-82.11</v>
      </c>
      <c r="M68" s="91">
        <v>-56.58</v>
      </c>
      <c r="N68" s="91">
        <v>-86.9</v>
      </c>
    </row>
    <row r="69" spans="2:28" x14ac:dyDescent="0.3">
      <c r="B69" t="s">
        <v>200</v>
      </c>
      <c r="C69" s="91">
        <v>-45.35</v>
      </c>
      <c r="D69" s="91">
        <v>-86.35</v>
      </c>
      <c r="E69" s="91">
        <v>14.26</v>
      </c>
      <c r="F69" s="91">
        <v>-14.97</v>
      </c>
      <c r="G69" s="91">
        <v>-72.05</v>
      </c>
      <c r="H69" s="91">
        <v>-238.97</v>
      </c>
      <c r="I69" s="91">
        <v>24.19</v>
      </c>
      <c r="J69" s="91">
        <v>392.36</v>
      </c>
      <c r="K69" s="91">
        <v>121.67</v>
      </c>
      <c r="L69" s="91">
        <v>8.7899999999999991</v>
      </c>
      <c r="M69" s="91">
        <v>83.09</v>
      </c>
      <c r="N69" s="91">
        <v>-7.53</v>
      </c>
    </row>
    <row r="70" spans="2:28" x14ac:dyDescent="0.3">
      <c r="B70" t="s">
        <v>201</v>
      </c>
      <c r="C70" s="91">
        <f t="shared" ref="C70:N70" si="11">C44+C53+C63</f>
        <v>16</v>
      </c>
      <c r="D70" s="91">
        <f t="shared" si="11"/>
        <v>41</v>
      </c>
      <c r="E70" s="91">
        <f t="shared" si="11"/>
        <v>6.1300000000000168</v>
      </c>
      <c r="F70" s="91">
        <f t="shared" si="11"/>
        <v>-11.750000000000043</v>
      </c>
      <c r="G70" s="91">
        <f t="shared" si="11"/>
        <v>39.430000000000092</v>
      </c>
      <c r="H70" s="91">
        <f t="shared" si="11"/>
        <v>16.049999999999955</v>
      </c>
      <c r="I70" s="91">
        <f t="shared" si="11"/>
        <v>51.939999999999941</v>
      </c>
      <c r="J70" s="91">
        <f t="shared" si="11"/>
        <v>55.850000000000193</v>
      </c>
      <c r="K70" s="91">
        <f t="shared" si="11"/>
        <v>169.21000000000009</v>
      </c>
      <c r="L70" s="91">
        <f t="shared" si="11"/>
        <v>195.5100000000001</v>
      </c>
      <c r="M70" s="91">
        <f t="shared" si="11"/>
        <v>11.8900000000001</v>
      </c>
      <c r="N70" s="91">
        <f t="shared" si="11"/>
        <v>400.47999999999968</v>
      </c>
      <c r="W70" s="27"/>
      <c r="X70" s="27"/>
      <c r="AB70" s="27"/>
    </row>
    <row r="71" spans="2:28" x14ac:dyDescent="0.3">
      <c r="B71" t="s">
        <v>202</v>
      </c>
      <c r="C71" s="91">
        <v>216</v>
      </c>
      <c r="D71" s="91">
        <v>89</v>
      </c>
      <c r="E71" s="91">
        <v>70</v>
      </c>
      <c r="F71" s="91">
        <v>356</v>
      </c>
      <c r="G71" s="91">
        <v>395</v>
      </c>
      <c r="H71" s="91">
        <v>277</v>
      </c>
      <c r="I71" s="91">
        <v>611</v>
      </c>
      <c r="J71" s="91">
        <v>464</v>
      </c>
      <c r="K71" s="91">
        <v>524</v>
      </c>
      <c r="L71" s="91">
        <v>947</v>
      </c>
      <c r="M71" s="91">
        <v>964</v>
      </c>
      <c r="N71" s="91">
        <v>1572</v>
      </c>
      <c r="R71" s="27"/>
      <c r="U71" s="27"/>
      <c r="V71" s="27"/>
      <c r="W71" s="27"/>
      <c r="Y71" s="27"/>
      <c r="Z71" s="27"/>
      <c r="AA71" s="27"/>
      <c r="AB71" s="27"/>
    </row>
    <row r="72" spans="2:28" x14ac:dyDescent="0.3">
      <c r="B72" t="s">
        <v>203</v>
      </c>
      <c r="C72" s="46">
        <f t="shared" ref="C72:N72" si="12">C44/C45</f>
        <v>0.86330935251798568</v>
      </c>
      <c r="D72" s="46">
        <f t="shared" si="12"/>
        <v>0.57505093955173192</v>
      </c>
      <c r="E72" s="46">
        <f t="shared" si="12"/>
        <v>0.52094436057403748</v>
      </c>
      <c r="F72" s="46">
        <f t="shared" si="12"/>
        <v>0.71651667999251478</v>
      </c>
      <c r="G72" s="46">
        <f t="shared" si="12"/>
        <v>0.67139307345861166</v>
      </c>
      <c r="H72" s="46">
        <f t="shared" si="12"/>
        <v>0.56286821209016391</v>
      </c>
      <c r="I72" s="46">
        <f t="shared" si="12"/>
        <v>0.93062633568962683</v>
      </c>
      <c r="J72" s="46">
        <f t="shared" si="12"/>
        <v>0.76668814023754006</v>
      </c>
      <c r="K72" s="46">
        <f t="shared" si="12"/>
        <v>0.61263132255190411</v>
      </c>
      <c r="L72" s="46">
        <f t="shared" si="12"/>
        <v>0.72191051727005606</v>
      </c>
      <c r="M72" s="46">
        <f t="shared" si="12"/>
        <v>0.52674664784756531</v>
      </c>
      <c r="N72" s="46">
        <f t="shared" si="12"/>
        <v>0.61213086928659255</v>
      </c>
      <c r="Q72" s="139"/>
      <c r="R72" s="139"/>
      <c r="S72" s="139"/>
      <c r="T72" s="139"/>
      <c r="U72" s="139"/>
      <c r="V72" s="139"/>
      <c r="W72" s="139"/>
      <c r="X72" s="139"/>
      <c r="Y72" s="139"/>
      <c r="Z72" s="139"/>
      <c r="AA72" s="139"/>
      <c r="AB72" s="139"/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Y31"/>
  <sheetViews>
    <sheetView zoomScale="115" zoomScaleNormal="115" workbookViewId="0">
      <selection activeCell="M1" sqref="M1"/>
    </sheetView>
  </sheetViews>
  <sheetFormatPr defaultColWidth="8.6640625" defaultRowHeight="14.4" x14ac:dyDescent="0.3"/>
  <cols>
    <col min="2" max="2" width="5.44140625" customWidth="1"/>
    <col min="3" max="3" width="16.88671875" customWidth="1"/>
    <col min="4" max="4" width="8.5546875" customWidth="1"/>
    <col min="5" max="5" width="15.6640625" customWidth="1"/>
    <col min="6" max="6" width="10.6640625" customWidth="1"/>
    <col min="7" max="7" width="10.109375" customWidth="1"/>
    <col min="8" max="8" width="13.6640625" customWidth="1"/>
    <col min="9" max="9" width="8.5546875" customWidth="1"/>
    <col min="10" max="10" width="9.6640625" customWidth="1"/>
    <col min="11" max="11" width="10.33203125" customWidth="1"/>
    <col min="12" max="12" width="8.5546875" customWidth="1"/>
    <col min="13" max="13" width="12.6640625" customWidth="1"/>
    <col min="16" max="16" width="5.44140625" customWidth="1"/>
    <col min="17" max="17" width="9.33203125" customWidth="1"/>
    <col min="18" max="18" width="8.109375" customWidth="1"/>
    <col min="19" max="19" width="16.44140625" customWidth="1"/>
    <col min="20" max="20" width="11.77734375" customWidth="1"/>
    <col min="21" max="21" width="10.5546875" customWidth="1"/>
    <col min="22" max="22" width="14.6640625" customWidth="1"/>
    <col min="23" max="23" width="8.44140625" customWidth="1"/>
    <col min="24" max="24" width="9.33203125" customWidth="1"/>
    <col min="25" max="25" width="11.21875" customWidth="1"/>
    <col min="26" max="26" width="7.109375" customWidth="1"/>
    <col min="27" max="27" width="13.33203125" customWidth="1"/>
  </cols>
  <sheetData>
    <row r="1" spans="2:25" x14ac:dyDescent="0.3">
      <c r="B1" t="s">
        <v>132</v>
      </c>
      <c r="C1" t="s">
        <v>35</v>
      </c>
      <c r="D1" t="s">
        <v>133</v>
      </c>
      <c r="E1" t="s">
        <v>204</v>
      </c>
      <c r="F1" t="s">
        <v>205</v>
      </c>
      <c r="G1" t="s">
        <v>135</v>
      </c>
      <c r="H1" t="s">
        <v>206</v>
      </c>
      <c r="I1" t="s">
        <v>103</v>
      </c>
      <c r="J1" t="s">
        <v>207</v>
      </c>
      <c r="K1" t="s">
        <v>208</v>
      </c>
      <c r="L1" t="s">
        <v>106</v>
      </c>
      <c r="M1" t="s">
        <v>209</v>
      </c>
      <c r="N1" s="140" t="s">
        <v>210</v>
      </c>
    </row>
    <row r="2" spans="2:25" x14ac:dyDescent="0.3">
      <c r="B2">
        <v>1</v>
      </c>
      <c r="C2" t="s">
        <v>211</v>
      </c>
      <c r="D2" s="33">
        <v>2258.9</v>
      </c>
      <c r="E2" s="33">
        <v>361.81</v>
      </c>
      <c r="F2" s="33">
        <f t="shared" ref="F2:F31" si="0">D2*E2</f>
        <v>817292.60900000005</v>
      </c>
      <c r="G2" s="33">
        <v>100</v>
      </c>
      <c r="H2" s="33">
        <v>45000</v>
      </c>
      <c r="I2" s="33">
        <f t="shared" ref="I2:I31" si="1">G2-H2</f>
        <v>-44900</v>
      </c>
      <c r="J2" s="33">
        <f t="shared" ref="J2:J31" si="2">F2+I2</f>
        <v>772392.60900000005</v>
      </c>
      <c r="K2" s="33">
        <v>289100</v>
      </c>
      <c r="L2" s="33">
        <f t="shared" ref="L2:L31" si="3">K2*N2</f>
        <v>80948.000000000015</v>
      </c>
      <c r="M2" s="33">
        <v>53680</v>
      </c>
      <c r="N2" s="141">
        <v>0.28000000000000003</v>
      </c>
      <c r="Q2" s="46"/>
      <c r="R2" s="46"/>
      <c r="S2" s="46"/>
      <c r="T2" s="46"/>
      <c r="U2" s="46"/>
      <c r="V2" s="46"/>
      <c r="W2" s="44"/>
      <c r="X2" s="46"/>
      <c r="Y2" s="46"/>
    </row>
    <row r="3" spans="2:25" x14ac:dyDescent="0.3">
      <c r="B3">
        <v>2</v>
      </c>
      <c r="C3" t="s">
        <v>212</v>
      </c>
      <c r="D3" s="33">
        <v>1111.45</v>
      </c>
      <c r="E3" s="33">
        <v>405.81</v>
      </c>
      <c r="F3" s="33">
        <f t="shared" si="0"/>
        <v>451037.5245</v>
      </c>
      <c r="G3" s="33">
        <v>1500</v>
      </c>
      <c r="H3" s="33">
        <v>15000</v>
      </c>
      <c r="I3" s="33">
        <f t="shared" si="1"/>
        <v>-13500</v>
      </c>
      <c r="J3" s="33">
        <f t="shared" si="2"/>
        <v>437537.5245</v>
      </c>
      <c r="K3" s="33">
        <v>192844</v>
      </c>
      <c r="L3" s="33">
        <f t="shared" si="3"/>
        <v>48211</v>
      </c>
      <c r="M3" s="33">
        <v>31100</v>
      </c>
      <c r="N3" s="141">
        <v>0.25</v>
      </c>
      <c r="Q3" s="46"/>
      <c r="R3" s="46"/>
      <c r="S3" s="46"/>
      <c r="T3" s="46"/>
      <c r="U3" s="46"/>
      <c r="V3" s="46"/>
      <c r="W3" s="44"/>
      <c r="X3" s="46"/>
      <c r="Y3" s="46"/>
    </row>
    <row r="4" spans="2:25" x14ac:dyDescent="0.3">
      <c r="B4">
        <v>3</v>
      </c>
      <c r="C4" t="s">
        <v>213</v>
      </c>
      <c r="D4" s="33">
        <v>1288.45</v>
      </c>
      <c r="E4" s="33">
        <v>271.37</v>
      </c>
      <c r="F4" s="33">
        <f t="shared" si="0"/>
        <v>349646.6765</v>
      </c>
      <c r="G4" s="33">
        <v>5000</v>
      </c>
      <c r="H4" s="33">
        <v>12000</v>
      </c>
      <c r="I4" s="33">
        <f t="shared" si="1"/>
        <v>-7000</v>
      </c>
      <c r="J4" s="33">
        <f t="shared" si="2"/>
        <v>342646.6765</v>
      </c>
      <c r="K4" s="33">
        <v>138316</v>
      </c>
      <c r="L4" s="33">
        <f t="shared" si="3"/>
        <v>33195.839999999997</v>
      </c>
      <c r="M4" s="33">
        <v>18504</v>
      </c>
      <c r="N4" s="141">
        <v>0.24</v>
      </c>
      <c r="Q4" s="46"/>
      <c r="R4" s="46"/>
      <c r="S4" s="46"/>
      <c r="T4" s="46"/>
      <c r="U4" s="46"/>
      <c r="V4" s="46"/>
      <c r="W4" s="44"/>
      <c r="X4" s="46"/>
      <c r="Y4" s="46"/>
    </row>
    <row r="5" spans="2:25" x14ac:dyDescent="0.3">
      <c r="B5">
        <v>4</v>
      </c>
      <c r="C5" t="s">
        <v>214</v>
      </c>
      <c r="D5" s="33">
        <v>177.7</v>
      </c>
      <c r="E5" s="33">
        <v>990.45</v>
      </c>
      <c r="F5" s="33">
        <f t="shared" si="0"/>
        <v>176002.965</v>
      </c>
      <c r="G5" s="33">
        <v>8000</v>
      </c>
      <c r="H5" s="33">
        <v>15000</v>
      </c>
      <c r="I5" s="33">
        <f t="shared" si="1"/>
        <v>-7000</v>
      </c>
      <c r="J5" s="33">
        <f t="shared" si="2"/>
        <v>169002.965</v>
      </c>
      <c r="K5" s="142">
        <v>97914.4</v>
      </c>
      <c r="L5" s="33">
        <f t="shared" si="3"/>
        <v>20562.023999999998</v>
      </c>
      <c r="M5" s="33">
        <v>13425.2</v>
      </c>
      <c r="N5" s="141">
        <v>0.21</v>
      </c>
      <c r="Q5" s="46"/>
      <c r="R5" s="46"/>
      <c r="S5" s="46"/>
      <c r="T5" s="46"/>
      <c r="U5" s="46"/>
      <c r="V5" s="46"/>
      <c r="W5" s="44"/>
      <c r="X5" s="46"/>
      <c r="Y5" s="46"/>
    </row>
    <row r="6" spans="2:25" x14ac:dyDescent="0.3">
      <c r="B6">
        <v>5</v>
      </c>
      <c r="C6" t="s">
        <v>215</v>
      </c>
      <c r="D6" s="33">
        <v>1590.5</v>
      </c>
      <c r="E6" s="33">
        <v>98.01</v>
      </c>
      <c r="F6" s="33">
        <f t="shared" si="0"/>
        <v>155884.905</v>
      </c>
      <c r="G6" s="33">
        <v>2000</v>
      </c>
      <c r="H6" s="33">
        <v>6000</v>
      </c>
      <c r="I6" s="33">
        <f t="shared" si="1"/>
        <v>-4000</v>
      </c>
      <c r="J6" s="33">
        <f t="shared" si="2"/>
        <v>151884.905</v>
      </c>
      <c r="K6" s="33">
        <v>62847.6</v>
      </c>
      <c r="L6" s="33">
        <f t="shared" si="3"/>
        <v>8798.6640000000007</v>
      </c>
      <c r="M6" s="33">
        <v>5945.2</v>
      </c>
      <c r="N6" s="141">
        <v>0.14000000000000001</v>
      </c>
      <c r="Q6" s="46"/>
      <c r="R6" s="46"/>
      <c r="S6" s="46"/>
      <c r="T6" s="46"/>
      <c r="U6" s="46"/>
      <c r="V6" s="46"/>
      <c r="W6" s="44"/>
      <c r="X6" s="46"/>
      <c r="Y6" s="46"/>
    </row>
    <row r="7" spans="2:25" x14ac:dyDescent="0.3">
      <c r="B7">
        <v>6</v>
      </c>
      <c r="C7" t="s">
        <v>216</v>
      </c>
      <c r="D7" s="33">
        <v>4505.7</v>
      </c>
      <c r="E7" s="33">
        <v>29.66</v>
      </c>
      <c r="F7" s="33">
        <f t="shared" si="0"/>
        <v>133639.06200000001</v>
      </c>
      <c r="G7" s="33">
        <v>500</v>
      </c>
      <c r="H7" s="33">
        <v>5000</v>
      </c>
      <c r="I7" s="33">
        <f t="shared" si="1"/>
        <v>-4500</v>
      </c>
      <c r="J7" s="33">
        <f t="shared" si="2"/>
        <v>129139.06200000001</v>
      </c>
      <c r="K7" s="33">
        <v>46432</v>
      </c>
      <c r="L7" s="33">
        <f t="shared" si="3"/>
        <v>8822.08</v>
      </c>
      <c r="M7" s="33">
        <v>5874.4</v>
      </c>
      <c r="N7" s="141">
        <v>0.19</v>
      </c>
      <c r="Q7" s="46"/>
      <c r="R7" s="46"/>
      <c r="S7" s="46"/>
      <c r="T7" s="46"/>
      <c r="U7" s="46"/>
      <c r="V7" s="46"/>
      <c r="W7" s="44"/>
      <c r="X7" s="46"/>
      <c r="Y7" s="46"/>
    </row>
    <row r="8" spans="2:25" x14ac:dyDescent="0.3">
      <c r="B8">
        <v>7</v>
      </c>
      <c r="C8" t="s">
        <v>217</v>
      </c>
      <c r="D8" s="33">
        <v>11799</v>
      </c>
      <c r="E8" s="33">
        <v>8.7100000000000009</v>
      </c>
      <c r="F8" s="33">
        <f t="shared" si="0"/>
        <v>102769.29000000001</v>
      </c>
      <c r="G8" s="33">
        <v>0</v>
      </c>
      <c r="H8" s="33">
        <v>6000</v>
      </c>
      <c r="I8" s="33">
        <f t="shared" si="1"/>
        <v>-6000</v>
      </c>
      <c r="J8" s="33">
        <f t="shared" si="2"/>
        <v>96769.290000000008</v>
      </c>
      <c r="K8" s="33">
        <v>8945</v>
      </c>
      <c r="L8" s="33">
        <f t="shared" si="3"/>
        <v>4025.25</v>
      </c>
      <c r="M8" s="33">
        <v>3413</v>
      </c>
      <c r="N8" s="141">
        <v>0.45</v>
      </c>
      <c r="Q8" s="46"/>
      <c r="R8" s="46"/>
      <c r="S8" s="46"/>
      <c r="T8" s="46"/>
      <c r="U8" s="46"/>
      <c r="V8" s="46"/>
      <c r="W8" s="44"/>
      <c r="X8" s="46"/>
      <c r="Y8" s="46"/>
    </row>
    <row r="9" spans="2:25" x14ac:dyDescent="0.3">
      <c r="B9" s="143">
        <v>8</v>
      </c>
      <c r="C9" s="143" t="s">
        <v>140</v>
      </c>
      <c r="D9" s="144">
        <v>5654</v>
      </c>
      <c r="E9" s="144">
        <v>15.75</v>
      </c>
      <c r="F9" s="144">
        <f t="shared" si="0"/>
        <v>89050.5</v>
      </c>
      <c r="G9" s="144">
        <v>477.45</v>
      </c>
      <c r="H9" s="144">
        <v>1218.25</v>
      </c>
      <c r="I9" s="144">
        <f t="shared" si="1"/>
        <v>-740.8</v>
      </c>
      <c r="J9" s="144">
        <f t="shared" si="2"/>
        <v>88309.7</v>
      </c>
      <c r="K9" s="144">
        <v>15718</v>
      </c>
      <c r="L9" s="144">
        <f t="shared" si="3"/>
        <v>2881.1093999999998</v>
      </c>
      <c r="M9" s="144">
        <v>1923</v>
      </c>
      <c r="N9" s="145">
        <v>0.18329999999999999</v>
      </c>
      <c r="Q9" s="46"/>
      <c r="R9" s="46"/>
      <c r="S9" s="46"/>
      <c r="T9" s="46"/>
      <c r="U9" s="46"/>
      <c r="V9" s="46"/>
      <c r="W9" s="44"/>
      <c r="X9" s="46"/>
      <c r="Y9" s="46"/>
    </row>
    <row r="10" spans="2:25" x14ac:dyDescent="0.3">
      <c r="B10">
        <v>9</v>
      </c>
      <c r="C10" t="s">
        <v>141</v>
      </c>
      <c r="D10" s="33">
        <v>1889.1</v>
      </c>
      <c r="E10" s="33">
        <v>44.29</v>
      </c>
      <c r="F10" s="33">
        <f t="shared" si="0"/>
        <v>83668.239000000001</v>
      </c>
      <c r="G10" s="33">
        <v>727.8</v>
      </c>
      <c r="H10" s="33">
        <v>2500</v>
      </c>
      <c r="I10" s="33">
        <f t="shared" si="1"/>
        <v>-1772.2</v>
      </c>
      <c r="J10" s="33">
        <f t="shared" si="2"/>
        <v>81896.039000000004</v>
      </c>
      <c r="K10" s="33">
        <v>18195</v>
      </c>
      <c r="L10" s="33">
        <f t="shared" si="3"/>
        <v>3457.05</v>
      </c>
      <c r="M10" s="33">
        <v>1920</v>
      </c>
      <c r="N10" s="141">
        <v>0.19</v>
      </c>
      <c r="Q10" s="46"/>
      <c r="R10" s="46"/>
      <c r="S10" s="46"/>
      <c r="T10" s="46"/>
      <c r="U10" s="46"/>
      <c r="V10" s="46"/>
      <c r="W10" s="44"/>
      <c r="X10" s="46"/>
      <c r="Y10" s="46"/>
    </row>
    <row r="11" spans="2:25" x14ac:dyDescent="0.3">
      <c r="B11">
        <v>10</v>
      </c>
      <c r="C11" t="s">
        <v>142</v>
      </c>
      <c r="D11" s="33">
        <v>2394.9</v>
      </c>
      <c r="E11" s="33">
        <v>19.09</v>
      </c>
      <c r="F11" s="33">
        <f t="shared" si="0"/>
        <v>45718.641000000003</v>
      </c>
      <c r="G11" s="33">
        <v>2619.6799999999998</v>
      </c>
      <c r="H11" s="33">
        <v>1800</v>
      </c>
      <c r="I11" s="33">
        <f t="shared" si="1"/>
        <v>819.67999999999984</v>
      </c>
      <c r="J11" s="33">
        <f t="shared" si="2"/>
        <v>46538.321000000004</v>
      </c>
      <c r="K11" s="33">
        <v>16531</v>
      </c>
      <c r="L11" s="33">
        <f t="shared" si="3"/>
        <v>2644.96</v>
      </c>
      <c r="M11" s="33">
        <v>1910</v>
      </c>
      <c r="N11" s="141">
        <v>0.16</v>
      </c>
      <c r="Q11" s="46"/>
      <c r="R11" s="46"/>
      <c r="S11" s="46"/>
      <c r="T11" s="46"/>
      <c r="U11" s="46"/>
      <c r="V11" s="46"/>
      <c r="W11" s="44"/>
      <c r="X11" s="46"/>
      <c r="Y11" s="46"/>
    </row>
    <row r="12" spans="2:25" x14ac:dyDescent="0.3">
      <c r="B12">
        <v>11</v>
      </c>
      <c r="C12" t="s">
        <v>218</v>
      </c>
      <c r="D12" s="33">
        <v>548.29999999999995</v>
      </c>
      <c r="E12" s="33">
        <v>61.1</v>
      </c>
      <c r="F12" s="33">
        <f t="shared" si="0"/>
        <v>33501.129999999997</v>
      </c>
      <c r="G12" s="33">
        <v>600</v>
      </c>
      <c r="H12" s="33">
        <v>1470</v>
      </c>
      <c r="I12" s="33">
        <f t="shared" si="1"/>
        <v>-870</v>
      </c>
      <c r="J12" s="33">
        <f t="shared" si="2"/>
        <v>32631.129999999997</v>
      </c>
      <c r="K12" s="33">
        <v>15380</v>
      </c>
      <c r="L12" s="33">
        <f t="shared" si="3"/>
        <v>2460.8000000000002</v>
      </c>
      <c r="M12" s="33">
        <v>1320.8</v>
      </c>
      <c r="N12" s="141">
        <v>0.16</v>
      </c>
      <c r="Q12" s="46"/>
      <c r="R12" s="46"/>
      <c r="S12" s="46"/>
      <c r="T12" s="46"/>
      <c r="U12" s="46"/>
      <c r="V12" s="46"/>
      <c r="W12" s="44"/>
      <c r="X12" s="46"/>
      <c r="Y12" s="46"/>
    </row>
    <row r="13" spans="2:25" x14ac:dyDescent="0.3">
      <c r="B13">
        <v>12</v>
      </c>
      <c r="C13" t="s">
        <v>219</v>
      </c>
      <c r="D13" s="33">
        <v>3633.8</v>
      </c>
      <c r="E13" s="33">
        <v>6.23</v>
      </c>
      <c r="F13" s="33">
        <f t="shared" si="0"/>
        <v>22638.574000000004</v>
      </c>
      <c r="G13" s="33">
        <v>50</v>
      </c>
      <c r="H13" s="33">
        <v>700</v>
      </c>
      <c r="I13" s="33">
        <f t="shared" si="1"/>
        <v>-650</v>
      </c>
      <c r="J13" s="33">
        <f t="shared" si="2"/>
        <v>21988.574000000004</v>
      </c>
      <c r="K13" s="33">
        <v>3886</v>
      </c>
      <c r="L13" s="33">
        <f t="shared" si="3"/>
        <v>816.06</v>
      </c>
      <c r="M13" s="33">
        <v>655</v>
      </c>
      <c r="N13" s="141">
        <v>0.21</v>
      </c>
      <c r="Q13" s="46"/>
      <c r="R13" s="46"/>
      <c r="S13" s="46"/>
      <c r="T13" s="46"/>
      <c r="U13" s="46"/>
      <c r="V13" s="46"/>
      <c r="W13" s="44"/>
      <c r="X13" s="46"/>
      <c r="Y13" s="46"/>
    </row>
    <row r="14" spans="2:25" x14ac:dyDescent="0.3">
      <c r="B14">
        <v>13</v>
      </c>
      <c r="C14" t="s">
        <v>220</v>
      </c>
      <c r="D14" s="33">
        <v>263.8</v>
      </c>
      <c r="E14" s="33">
        <v>72.14</v>
      </c>
      <c r="F14" s="33">
        <f t="shared" si="0"/>
        <v>19030.531999999999</v>
      </c>
      <c r="G14" s="33">
        <v>900</v>
      </c>
      <c r="H14" s="33">
        <v>600</v>
      </c>
      <c r="I14" s="33">
        <f t="shared" si="1"/>
        <v>300</v>
      </c>
      <c r="J14" s="33">
        <f t="shared" si="2"/>
        <v>19330.531999999999</v>
      </c>
      <c r="K14" s="33">
        <v>11000</v>
      </c>
      <c r="L14" s="33">
        <f t="shared" si="3"/>
        <v>1100</v>
      </c>
      <c r="M14" s="33">
        <v>550</v>
      </c>
      <c r="N14" s="141">
        <v>0.1</v>
      </c>
      <c r="Q14" s="46"/>
      <c r="R14" s="46"/>
      <c r="S14" s="46"/>
      <c r="T14" s="46"/>
      <c r="U14" s="46"/>
      <c r="V14" s="46"/>
      <c r="W14" s="44"/>
      <c r="X14" s="46"/>
      <c r="Y14" s="46"/>
    </row>
    <row r="15" spans="2:25" x14ac:dyDescent="0.3">
      <c r="B15">
        <v>14</v>
      </c>
      <c r="C15" t="s">
        <v>221</v>
      </c>
      <c r="D15" s="33">
        <v>1758</v>
      </c>
      <c r="E15" s="33">
        <v>9.4700000000000006</v>
      </c>
      <c r="F15" s="33">
        <f t="shared" si="0"/>
        <v>16648.260000000002</v>
      </c>
      <c r="G15" s="33">
        <v>50</v>
      </c>
      <c r="H15" s="33">
        <v>800</v>
      </c>
      <c r="I15" s="33">
        <f t="shared" si="1"/>
        <v>-750</v>
      </c>
      <c r="J15" s="33">
        <f t="shared" si="2"/>
        <v>15898.260000000002</v>
      </c>
      <c r="K15" s="33">
        <v>4680</v>
      </c>
      <c r="L15" s="33">
        <f t="shared" si="3"/>
        <v>1123.2</v>
      </c>
      <c r="M15" s="33">
        <v>657.2</v>
      </c>
      <c r="N15" s="141">
        <v>0.24</v>
      </c>
      <c r="Q15" s="46"/>
      <c r="R15" s="46"/>
      <c r="S15" s="46"/>
      <c r="T15" s="46"/>
      <c r="U15" s="46"/>
      <c r="V15" s="46"/>
      <c r="W15" s="44"/>
      <c r="X15" s="46"/>
      <c r="Y15" s="46"/>
    </row>
    <row r="16" spans="2:25" x14ac:dyDescent="0.3">
      <c r="B16">
        <v>15</v>
      </c>
      <c r="C16" t="s">
        <v>222</v>
      </c>
      <c r="D16" s="33">
        <v>582.35</v>
      </c>
      <c r="E16" s="33">
        <v>27.41</v>
      </c>
      <c r="F16" s="33">
        <f t="shared" si="0"/>
        <v>15962.2135</v>
      </c>
      <c r="G16" s="33">
        <v>200</v>
      </c>
      <c r="H16" s="33">
        <v>600</v>
      </c>
      <c r="I16" s="33">
        <f t="shared" si="1"/>
        <v>-400</v>
      </c>
      <c r="J16" s="33">
        <f t="shared" si="2"/>
        <v>15562.2135</v>
      </c>
      <c r="K16" s="33">
        <v>6700</v>
      </c>
      <c r="L16" s="33">
        <f t="shared" si="3"/>
        <v>1273</v>
      </c>
      <c r="M16" s="33">
        <v>466</v>
      </c>
      <c r="N16" s="141">
        <v>0.19</v>
      </c>
      <c r="Q16" s="46"/>
      <c r="R16" s="46"/>
      <c r="S16" s="46"/>
      <c r="T16" s="46"/>
      <c r="U16" s="46"/>
      <c r="V16" s="46"/>
      <c r="W16" s="44"/>
      <c r="X16" s="46"/>
      <c r="Y16" s="46"/>
    </row>
    <row r="17" spans="2:25" x14ac:dyDescent="0.3">
      <c r="B17">
        <v>16</v>
      </c>
      <c r="C17" t="s">
        <v>223</v>
      </c>
      <c r="D17" s="33">
        <v>844.55</v>
      </c>
      <c r="E17" s="33">
        <v>17.2</v>
      </c>
      <c r="F17" s="33">
        <f t="shared" si="0"/>
        <v>14526.259999999998</v>
      </c>
      <c r="G17" s="33">
        <v>50</v>
      </c>
      <c r="H17" s="33">
        <v>800</v>
      </c>
      <c r="I17" s="33">
        <f t="shared" si="1"/>
        <v>-750</v>
      </c>
      <c r="J17" s="33">
        <f t="shared" si="2"/>
        <v>13776.259999999998</v>
      </c>
      <c r="K17" s="33">
        <v>3650</v>
      </c>
      <c r="L17" s="33">
        <f t="shared" si="3"/>
        <v>547.5</v>
      </c>
      <c r="M17" s="33">
        <v>289.2</v>
      </c>
      <c r="N17" s="141">
        <v>0.15</v>
      </c>
      <c r="Q17" s="46"/>
      <c r="R17" s="46"/>
      <c r="S17" s="46"/>
      <c r="T17" s="46"/>
      <c r="U17" s="46"/>
      <c r="V17" s="46"/>
      <c r="W17" s="44"/>
      <c r="X17" s="46"/>
      <c r="Y17" s="46"/>
    </row>
    <row r="18" spans="2:25" x14ac:dyDescent="0.3">
      <c r="B18">
        <v>17</v>
      </c>
      <c r="C18" t="s">
        <v>224</v>
      </c>
      <c r="D18" s="33">
        <v>925.65</v>
      </c>
      <c r="E18" s="33">
        <v>11.85</v>
      </c>
      <c r="F18" s="33">
        <f t="shared" si="0"/>
        <v>10968.952499999999</v>
      </c>
      <c r="G18" s="33">
        <v>100</v>
      </c>
      <c r="H18" s="33">
        <v>300</v>
      </c>
      <c r="I18" s="33">
        <f t="shared" si="1"/>
        <v>-200</v>
      </c>
      <c r="J18" s="33">
        <f t="shared" si="2"/>
        <v>10768.952499999999</v>
      </c>
      <c r="K18" s="33">
        <v>3140</v>
      </c>
      <c r="L18" s="33">
        <f t="shared" si="3"/>
        <v>628</v>
      </c>
      <c r="M18" s="33">
        <v>379.6</v>
      </c>
      <c r="N18" s="141">
        <v>0.2</v>
      </c>
      <c r="Q18" s="46"/>
      <c r="R18" s="46"/>
      <c r="S18" s="46"/>
      <c r="T18" s="46"/>
      <c r="U18" s="46"/>
      <c r="V18" s="46"/>
      <c r="W18" s="44"/>
      <c r="X18" s="46"/>
      <c r="Y18" s="46"/>
    </row>
    <row r="19" spans="2:25" x14ac:dyDescent="0.3">
      <c r="B19">
        <v>18</v>
      </c>
      <c r="C19" t="s">
        <v>225</v>
      </c>
      <c r="D19" s="33">
        <v>464</v>
      </c>
      <c r="E19" s="33">
        <v>22.76</v>
      </c>
      <c r="F19" s="33">
        <f t="shared" si="0"/>
        <v>10560.640000000001</v>
      </c>
      <c r="G19" s="33">
        <v>150</v>
      </c>
      <c r="H19" s="33">
        <v>500</v>
      </c>
      <c r="I19" s="33">
        <f t="shared" si="1"/>
        <v>-350</v>
      </c>
      <c r="J19" s="33">
        <f t="shared" si="2"/>
        <v>10210.640000000001</v>
      </c>
      <c r="K19" s="33">
        <v>6033.2</v>
      </c>
      <c r="L19" s="33">
        <f t="shared" si="3"/>
        <v>965.31200000000001</v>
      </c>
      <c r="M19" s="33">
        <v>735.2</v>
      </c>
      <c r="N19" s="141">
        <v>0.16</v>
      </c>
      <c r="Q19" s="46"/>
      <c r="R19" s="46"/>
      <c r="S19" s="46"/>
      <c r="T19" s="46"/>
      <c r="U19" s="46"/>
      <c r="V19" s="46"/>
      <c r="W19" s="44"/>
      <c r="X19" s="46"/>
      <c r="Y19" s="46"/>
    </row>
    <row r="20" spans="2:25" x14ac:dyDescent="0.3">
      <c r="B20">
        <v>19</v>
      </c>
      <c r="C20" t="s">
        <v>226</v>
      </c>
      <c r="D20" s="33">
        <v>682.8</v>
      </c>
      <c r="E20" s="33">
        <v>14.04</v>
      </c>
      <c r="F20" s="33">
        <f t="shared" si="0"/>
        <v>9586.5119999999988</v>
      </c>
      <c r="G20" s="33">
        <v>100</v>
      </c>
      <c r="H20" s="33">
        <v>400</v>
      </c>
      <c r="I20" s="33">
        <f t="shared" si="1"/>
        <v>-300</v>
      </c>
      <c r="J20" s="33">
        <f t="shared" si="2"/>
        <v>9286.5119999999988</v>
      </c>
      <c r="K20" s="33">
        <v>3380.7</v>
      </c>
      <c r="L20" s="33">
        <f t="shared" si="3"/>
        <v>608.52599999999995</v>
      </c>
      <c r="M20" s="33">
        <v>407.3</v>
      </c>
      <c r="N20" s="141">
        <v>0.18</v>
      </c>
      <c r="Q20" s="46"/>
      <c r="R20" s="46"/>
      <c r="S20" s="46"/>
      <c r="T20" s="46"/>
      <c r="U20" s="46"/>
      <c r="V20" s="46"/>
      <c r="W20" s="44"/>
      <c r="X20" s="46"/>
      <c r="Y20" s="46"/>
    </row>
    <row r="21" spans="2:25" x14ac:dyDescent="0.3">
      <c r="B21">
        <v>20</v>
      </c>
      <c r="C21" t="s">
        <v>227</v>
      </c>
      <c r="D21" s="33">
        <v>852</v>
      </c>
      <c r="E21" s="33">
        <v>11.04</v>
      </c>
      <c r="F21" s="33">
        <f t="shared" si="0"/>
        <v>9406.08</v>
      </c>
      <c r="G21" s="33">
        <v>300</v>
      </c>
      <c r="H21" s="33">
        <v>400</v>
      </c>
      <c r="I21" s="33">
        <f t="shared" si="1"/>
        <v>-100</v>
      </c>
      <c r="J21" s="33">
        <f t="shared" si="2"/>
        <v>9306.08</v>
      </c>
      <c r="K21" s="33">
        <v>7300</v>
      </c>
      <c r="L21" s="33">
        <f t="shared" si="3"/>
        <v>1022.0000000000001</v>
      </c>
      <c r="M21" s="33">
        <v>520</v>
      </c>
      <c r="N21" s="141">
        <v>0.14000000000000001</v>
      </c>
      <c r="Q21" s="46"/>
      <c r="R21" s="46"/>
      <c r="S21" s="46"/>
      <c r="T21" s="46"/>
      <c r="U21" s="46"/>
      <c r="V21" s="46"/>
      <c r="W21" s="44"/>
      <c r="X21" s="46"/>
      <c r="Y21" s="46"/>
    </row>
    <row r="22" spans="2:25" x14ac:dyDescent="0.3">
      <c r="B22">
        <v>21</v>
      </c>
      <c r="C22" t="s">
        <v>228</v>
      </c>
      <c r="D22" s="33">
        <v>289.95</v>
      </c>
      <c r="E22" s="33">
        <v>28.04</v>
      </c>
      <c r="F22" s="33">
        <f t="shared" si="0"/>
        <v>8130.1979999999994</v>
      </c>
      <c r="G22" s="33">
        <v>200</v>
      </c>
      <c r="H22" s="33">
        <v>300</v>
      </c>
      <c r="I22" s="33">
        <f t="shared" si="1"/>
        <v>-100</v>
      </c>
      <c r="J22" s="33">
        <f t="shared" si="2"/>
        <v>8030.1979999999994</v>
      </c>
      <c r="K22" s="33">
        <v>13116.4</v>
      </c>
      <c r="L22" s="33">
        <f t="shared" si="3"/>
        <v>786.98399999999992</v>
      </c>
      <c r="M22" s="33">
        <v>432.4</v>
      </c>
      <c r="N22" s="141">
        <v>0.06</v>
      </c>
      <c r="Q22" s="46"/>
      <c r="R22" s="46"/>
      <c r="S22" s="46"/>
      <c r="T22" s="46"/>
      <c r="U22" s="46"/>
      <c r="V22" s="46"/>
      <c r="W22" s="44"/>
      <c r="X22" s="46"/>
      <c r="Y22" s="46"/>
    </row>
    <row r="23" spans="2:25" x14ac:dyDescent="0.3">
      <c r="B23">
        <v>22</v>
      </c>
      <c r="C23" t="s">
        <v>229</v>
      </c>
      <c r="D23" s="33">
        <v>288.75</v>
      </c>
      <c r="E23" s="33">
        <v>27.96</v>
      </c>
      <c r="F23" s="33">
        <f t="shared" si="0"/>
        <v>8073.45</v>
      </c>
      <c r="G23" s="33">
        <v>100</v>
      </c>
      <c r="H23" s="33">
        <v>400</v>
      </c>
      <c r="I23" s="33">
        <f t="shared" si="1"/>
        <v>-300</v>
      </c>
      <c r="J23" s="33">
        <f t="shared" si="2"/>
        <v>7773.45</v>
      </c>
      <c r="K23" s="33">
        <v>5517.6</v>
      </c>
      <c r="L23" s="33">
        <f t="shared" si="3"/>
        <v>662.11199999999997</v>
      </c>
      <c r="M23" s="33">
        <v>644</v>
      </c>
      <c r="N23" s="141">
        <v>0.12</v>
      </c>
      <c r="Q23" s="46"/>
      <c r="R23" s="46"/>
      <c r="S23" s="46"/>
      <c r="T23" s="46"/>
      <c r="U23" s="46"/>
      <c r="V23" s="46"/>
      <c r="W23" s="44"/>
      <c r="X23" s="46"/>
      <c r="Y23" s="46"/>
    </row>
    <row r="24" spans="2:25" x14ac:dyDescent="0.3">
      <c r="B24">
        <v>23</v>
      </c>
      <c r="C24" t="s">
        <v>230</v>
      </c>
      <c r="D24" s="33">
        <v>521.95000000000005</v>
      </c>
      <c r="E24" s="33">
        <v>14.25</v>
      </c>
      <c r="F24" s="33">
        <f t="shared" si="0"/>
        <v>7437.7875000000004</v>
      </c>
      <c r="G24" s="33">
        <v>20</v>
      </c>
      <c r="H24" s="33">
        <v>300</v>
      </c>
      <c r="I24" s="33">
        <f t="shared" si="1"/>
        <v>-280</v>
      </c>
      <c r="J24" s="33">
        <f t="shared" si="2"/>
        <v>7157.7875000000004</v>
      </c>
      <c r="K24" s="33">
        <v>1426.7</v>
      </c>
      <c r="L24" s="33">
        <f t="shared" si="3"/>
        <v>285.34000000000003</v>
      </c>
      <c r="M24" s="33">
        <v>251.3</v>
      </c>
      <c r="N24" s="141">
        <v>0.2</v>
      </c>
      <c r="Q24" s="46"/>
      <c r="R24" s="46"/>
      <c r="S24" s="46"/>
      <c r="T24" s="46"/>
      <c r="U24" s="46"/>
      <c r="V24" s="46"/>
      <c r="W24" s="44"/>
      <c r="X24" s="46"/>
      <c r="Y24" s="46"/>
    </row>
    <row r="25" spans="2:25" x14ac:dyDescent="0.3">
      <c r="B25">
        <v>24</v>
      </c>
      <c r="C25" t="s">
        <v>231</v>
      </c>
      <c r="D25" s="33">
        <v>4899.75</v>
      </c>
      <c r="E25" s="33">
        <v>1.46</v>
      </c>
      <c r="F25" s="33">
        <f t="shared" si="0"/>
        <v>7153.6350000000002</v>
      </c>
      <c r="G25" s="33">
        <v>50</v>
      </c>
      <c r="H25" s="33">
        <v>100</v>
      </c>
      <c r="I25" s="33">
        <f t="shared" si="1"/>
        <v>-50</v>
      </c>
      <c r="J25" s="33">
        <f t="shared" si="2"/>
        <v>7103.6350000000002</v>
      </c>
      <c r="K25" s="33">
        <v>795.3</v>
      </c>
      <c r="L25" s="33">
        <f t="shared" si="3"/>
        <v>119.29499999999999</v>
      </c>
      <c r="M25" s="33">
        <v>107.3</v>
      </c>
      <c r="N25" s="141">
        <v>0.15</v>
      </c>
      <c r="Q25" s="46"/>
      <c r="R25" s="46"/>
      <c r="S25" s="46"/>
      <c r="T25" s="46"/>
      <c r="U25" s="46"/>
      <c r="V25" s="46"/>
      <c r="W25" s="44"/>
      <c r="X25" s="46"/>
      <c r="Y25" s="46"/>
    </row>
    <row r="26" spans="2:25" x14ac:dyDescent="0.3">
      <c r="B26">
        <v>25</v>
      </c>
      <c r="C26" t="s">
        <v>232</v>
      </c>
      <c r="D26" s="33">
        <v>533.45000000000005</v>
      </c>
      <c r="E26" s="33">
        <v>13.26</v>
      </c>
      <c r="F26" s="33">
        <f t="shared" si="0"/>
        <v>7073.5470000000005</v>
      </c>
      <c r="G26" s="33">
        <v>100</v>
      </c>
      <c r="H26" s="33">
        <v>300</v>
      </c>
      <c r="I26" s="33">
        <f t="shared" si="1"/>
        <v>-200</v>
      </c>
      <c r="J26" s="33">
        <f t="shared" si="2"/>
        <v>6873.5470000000005</v>
      </c>
      <c r="K26" s="33">
        <v>4905.6000000000004</v>
      </c>
      <c r="L26" s="33">
        <f t="shared" si="3"/>
        <v>735.84</v>
      </c>
      <c r="M26" s="33">
        <v>568.70000000000005</v>
      </c>
      <c r="N26" s="141">
        <v>0.15</v>
      </c>
      <c r="Q26" s="46"/>
      <c r="R26" s="46"/>
      <c r="S26" s="46"/>
      <c r="T26" s="46"/>
      <c r="U26" s="46"/>
      <c r="V26" s="46"/>
      <c r="W26" s="44"/>
      <c r="X26" s="46"/>
      <c r="Y26" s="46"/>
    </row>
    <row r="27" spans="2:25" x14ac:dyDescent="0.3">
      <c r="B27">
        <v>26</v>
      </c>
      <c r="C27" t="s">
        <v>233</v>
      </c>
      <c r="D27" s="33">
        <v>440.75</v>
      </c>
      <c r="E27" s="33">
        <v>15.23</v>
      </c>
      <c r="F27" s="33">
        <f t="shared" si="0"/>
        <v>6712.6225000000004</v>
      </c>
      <c r="G27" s="33">
        <v>20</v>
      </c>
      <c r="H27" s="33">
        <v>400</v>
      </c>
      <c r="I27" s="33">
        <f t="shared" si="1"/>
        <v>-380</v>
      </c>
      <c r="J27" s="33">
        <f t="shared" si="2"/>
        <v>6332.6225000000004</v>
      </c>
      <c r="K27" s="33">
        <v>2514</v>
      </c>
      <c r="L27" s="33">
        <f t="shared" si="3"/>
        <v>402.24</v>
      </c>
      <c r="M27" s="33">
        <v>270.39999999999998</v>
      </c>
      <c r="N27" s="141">
        <v>0.16</v>
      </c>
      <c r="Q27" s="46"/>
      <c r="R27" s="46"/>
      <c r="S27" s="46"/>
      <c r="T27" s="46"/>
      <c r="U27" s="46"/>
      <c r="V27" s="46"/>
      <c r="W27" s="44"/>
      <c r="X27" s="46"/>
      <c r="Y27" s="46"/>
    </row>
    <row r="28" spans="2:25" x14ac:dyDescent="0.3">
      <c r="B28">
        <v>27</v>
      </c>
      <c r="C28" t="s">
        <v>234</v>
      </c>
      <c r="D28" s="33">
        <v>2400</v>
      </c>
      <c r="E28" s="33">
        <v>2.62</v>
      </c>
      <c r="F28" s="33">
        <f t="shared" si="0"/>
        <v>6288</v>
      </c>
      <c r="G28" s="33">
        <v>100</v>
      </c>
      <c r="H28" s="33">
        <v>300</v>
      </c>
      <c r="I28" s="33">
        <f t="shared" si="1"/>
        <v>-200</v>
      </c>
      <c r="J28" s="33">
        <f t="shared" si="2"/>
        <v>6088</v>
      </c>
      <c r="K28" s="33">
        <v>3300</v>
      </c>
      <c r="L28" s="33">
        <f t="shared" si="3"/>
        <v>429</v>
      </c>
      <c r="M28" s="33">
        <v>280</v>
      </c>
      <c r="N28" s="141">
        <v>0.13</v>
      </c>
      <c r="Q28" s="46"/>
      <c r="R28" s="46"/>
      <c r="S28" s="46"/>
      <c r="T28" s="46"/>
      <c r="U28" s="46"/>
      <c r="V28" s="46"/>
      <c r="W28" s="44"/>
      <c r="X28" s="46"/>
      <c r="Y28" s="46"/>
    </row>
    <row r="29" spans="2:25" x14ac:dyDescent="0.3">
      <c r="B29">
        <v>28</v>
      </c>
      <c r="C29" t="s">
        <v>235</v>
      </c>
      <c r="D29" s="33">
        <v>275.7</v>
      </c>
      <c r="E29" s="33">
        <v>20.69</v>
      </c>
      <c r="F29" s="33">
        <f t="shared" si="0"/>
        <v>5704.2330000000002</v>
      </c>
      <c r="G29" s="33">
        <v>10</v>
      </c>
      <c r="H29" s="33">
        <v>400</v>
      </c>
      <c r="I29" s="33">
        <f t="shared" si="1"/>
        <v>-390</v>
      </c>
      <c r="J29" s="33">
        <f t="shared" si="2"/>
        <v>5314.2330000000002</v>
      </c>
      <c r="K29" s="33">
        <v>1147.5</v>
      </c>
      <c r="L29" s="33">
        <f t="shared" si="3"/>
        <v>229.5</v>
      </c>
      <c r="M29" s="33">
        <v>188.4</v>
      </c>
      <c r="N29" s="141">
        <v>0.2</v>
      </c>
      <c r="Q29" s="46"/>
      <c r="R29" s="46"/>
      <c r="S29" s="46"/>
      <c r="T29" s="46"/>
      <c r="U29" s="46"/>
      <c r="V29" s="46"/>
      <c r="W29" s="44"/>
      <c r="X29" s="46"/>
      <c r="Y29" s="46"/>
    </row>
    <row r="30" spans="2:25" x14ac:dyDescent="0.3">
      <c r="B30">
        <v>29</v>
      </c>
      <c r="C30" t="s">
        <v>236</v>
      </c>
      <c r="D30" s="33">
        <v>256.7</v>
      </c>
      <c r="E30" s="33">
        <v>11.84</v>
      </c>
      <c r="F30" s="33">
        <f t="shared" si="0"/>
        <v>3039.328</v>
      </c>
      <c r="G30" s="33">
        <v>50</v>
      </c>
      <c r="H30" s="33">
        <v>150</v>
      </c>
      <c r="I30" s="33">
        <f t="shared" si="1"/>
        <v>-100</v>
      </c>
      <c r="J30" s="33">
        <f t="shared" si="2"/>
        <v>2939.328</v>
      </c>
      <c r="K30" s="33">
        <v>1150</v>
      </c>
      <c r="L30" s="33">
        <f t="shared" si="3"/>
        <v>172.5</v>
      </c>
      <c r="M30" s="33">
        <v>140</v>
      </c>
      <c r="N30" s="141">
        <v>0.15</v>
      </c>
      <c r="Q30" s="46"/>
      <c r="R30" s="46"/>
      <c r="S30" s="46"/>
      <c r="T30" s="46"/>
      <c r="U30" s="46"/>
      <c r="V30" s="46"/>
      <c r="W30" s="44"/>
      <c r="X30" s="46"/>
      <c r="Y30" s="46"/>
    </row>
    <row r="31" spans="2:25" x14ac:dyDescent="0.3">
      <c r="B31">
        <v>30</v>
      </c>
      <c r="C31" t="s">
        <v>237</v>
      </c>
      <c r="D31" s="33">
        <v>950</v>
      </c>
      <c r="E31" s="33">
        <v>3.05</v>
      </c>
      <c r="F31" s="33">
        <f t="shared" si="0"/>
        <v>2897.5</v>
      </c>
      <c r="G31" s="33">
        <v>20</v>
      </c>
      <c r="H31" s="33">
        <v>200</v>
      </c>
      <c r="I31" s="33">
        <f t="shared" si="1"/>
        <v>-180</v>
      </c>
      <c r="J31" s="33">
        <f t="shared" si="2"/>
        <v>2717.5</v>
      </c>
      <c r="K31" s="33">
        <v>550</v>
      </c>
      <c r="L31" s="33">
        <f t="shared" si="3"/>
        <v>110</v>
      </c>
      <c r="M31" s="33">
        <v>110</v>
      </c>
      <c r="N31" s="141">
        <v>0.2</v>
      </c>
      <c r="Q31" s="46"/>
      <c r="R31" s="46"/>
      <c r="S31" s="46"/>
      <c r="T31" s="46"/>
      <c r="U31" s="46"/>
      <c r="V31" s="46"/>
      <c r="W31" s="44"/>
      <c r="X31" s="46"/>
      <c r="Y31" s="4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3"/>
  <sheetViews>
    <sheetView zoomScale="115" zoomScaleNormal="115" workbookViewId="0">
      <pane xSplit="1" ySplit="1" topLeftCell="B19" activePane="bottomRight" state="frozen"/>
      <selection pane="topRight" activeCell="B1" sqref="B1"/>
      <selection pane="bottomLeft" activeCell="A16" sqref="A16"/>
      <selection pane="bottomRight" activeCell="K34" sqref="K34"/>
    </sheetView>
  </sheetViews>
  <sheetFormatPr defaultColWidth="10.44140625" defaultRowHeight="13.2" x14ac:dyDescent="0.25"/>
  <cols>
    <col min="1" max="1" width="26" style="146" customWidth="1"/>
    <col min="2" max="11" width="11.77734375" style="146" customWidth="1"/>
    <col min="12" max="16384" width="10.44140625" style="146"/>
  </cols>
  <sheetData>
    <row r="1" spans="1:11" s="147" customFormat="1" x14ac:dyDescent="0.25">
      <c r="A1" s="147" t="s">
        <v>238</v>
      </c>
      <c r="B1" s="147" t="s">
        <v>239</v>
      </c>
      <c r="E1" s="167" t="str">
        <f>IF(B2&lt;&gt;B3, "A NEW VERSION OF THE WORKSHEET IS AVAILABLE", "")</f>
        <v/>
      </c>
      <c r="F1" s="167"/>
      <c r="G1" s="167"/>
      <c r="H1" s="167"/>
      <c r="I1" s="167"/>
      <c r="J1" s="167"/>
      <c r="K1" s="167"/>
    </row>
    <row r="2" spans="1:11" x14ac:dyDescent="0.25">
      <c r="A2" s="147" t="s">
        <v>240</v>
      </c>
      <c r="B2" s="146">
        <v>2.1</v>
      </c>
      <c r="E2" s="168" t="s">
        <v>241</v>
      </c>
      <c r="F2" s="168"/>
      <c r="G2" s="168"/>
      <c r="H2" s="168"/>
      <c r="I2" s="168"/>
      <c r="J2" s="168"/>
      <c r="K2" s="168"/>
    </row>
    <row r="3" spans="1:11" x14ac:dyDescent="0.25">
      <c r="A3" s="147" t="s">
        <v>242</v>
      </c>
      <c r="B3" s="146">
        <v>2.1</v>
      </c>
    </row>
    <row r="4" spans="1:11" x14ac:dyDescent="0.25">
      <c r="A4" s="147"/>
    </row>
    <row r="5" spans="1:11" x14ac:dyDescent="0.25">
      <c r="A5" s="147" t="s">
        <v>243</v>
      </c>
    </row>
    <row r="6" spans="1:11" x14ac:dyDescent="0.25">
      <c r="A6" s="146" t="s">
        <v>244</v>
      </c>
      <c r="B6" s="146">
        <f>IF(B9&gt;0, B9/B8, 0)</f>
        <v>15.748238415281216</v>
      </c>
    </row>
    <row r="7" spans="1:11" x14ac:dyDescent="0.25">
      <c r="A7" s="146" t="s">
        <v>245</v>
      </c>
      <c r="B7" s="148">
        <v>5</v>
      </c>
    </row>
    <row r="8" spans="1:11" x14ac:dyDescent="0.25">
      <c r="A8" s="146" t="s">
        <v>246</v>
      </c>
      <c r="B8" s="148">
        <v>5654</v>
      </c>
    </row>
    <row r="9" spans="1:11" x14ac:dyDescent="0.25">
      <c r="A9" s="146" t="s">
        <v>58</v>
      </c>
      <c r="B9" s="148">
        <v>89040.54</v>
      </c>
    </row>
    <row r="15" spans="1:11" x14ac:dyDescent="0.25">
      <c r="A15" s="147" t="s">
        <v>247</v>
      </c>
      <c r="B15" s="146">
        <f>B26+B34</f>
        <v>698.81</v>
      </c>
      <c r="K15" s="146">
        <f>K17-K18-K20-K21-K22-K23-K19</f>
        <v>2945.8500000000004</v>
      </c>
    </row>
    <row r="16" spans="1:11" s="151" customFormat="1" x14ac:dyDescent="0.25">
      <c r="A16" s="149" t="s">
        <v>248</v>
      </c>
      <c r="B16" s="150">
        <v>42825</v>
      </c>
      <c r="C16" s="150">
        <v>43190</v>
      </c>
      <c r="D16" s="150">
        <v>43555</v>
      </c>
      <c r="E16" s="150">
        <v>43921</v>
      </c>
      <c r="F16" s="150">
        <v>44286</v>
      </c>
      <c r="G16" s="150">
        <v>44651</v>
      </c>
      <c r="H16" s="150">
        <v>45016</v>
      </c>
      <c r="I16" s="150">
        <v>45382</v>
      </c>
      <c r="J16" s="150">
        <v>45747</v>
      </c>
      <c r="K16" s="150">
        <v>46112</v>
      </c>
    </row>
    <row r="17" spans="1:11" x14ac:dyDescent="0.25">
      <c r="A17" s="146" t="s">
        <v>249</v>
      </c>
      <c r="B17" s="148">
        <v>2878.44</v>
      </c>
      <c r="C17" s="148">
        <v>3033.7</v>
      </c>
      <c r="D17" s="148">
        <v>3365.94</v>
      </c>
      <c r="E17" s="148">
        <v>3565.81</v>
      </c>
      <c r="F17" s="148">
        <v>4187.8900000000003</v>
      </c>
      <c r="G17" s="148">
        <v>5710.75</v>
      </c>
      <c r="H17" s="148">
        <v>8350.59</v>
      </c>
      <c r="I17" s="148">
        <v>9821.59</v>
      </c>
      <c r="J17" s="148">
        <v>11938.72</v>
      </c>
      <c r="K17" s="148">
        <v>14748.45</v>
      </c>
    </row>
    <row r="18" spans="1:11" ht="14.25" customHeight="1" x14ac:dyDescent="0.3">
      <c r="A18" s="146" t="s">
        <v>250</v>
      </c>
      <c r="B18" s="152"/>
      <c r="C18" s="152"/>
      <c r="D18" s="152"/>
      <c r="E18" s="152"/>
      <c r="F18" s="152"/>
      <c r="G18" s="152"/>
      <c r="H18" s="152"/>
      <c r="I18" s="152"/>
      <c r="J18" s="152"/>
      <c r="K18" s="152"/>
    </row>
    <row r="19" spans="1:11" ht="14.25" customHeight="1" x14ac:dyDescent="0.3">
      <c r="A19" s="146" t="s">
        <v>251</v>
      </c>
      <c r="B19" s="152"/>
      <c r="C19" s="152"/>
      <c r="D19" s="152"/>
      <c r="E19" s="152"/>
      <c r="F19" s="152"/>
      <c r="G19" s="152"/>
      <c r="H19" s="152"/>
      <c r="I19" s="152"/>
      <c r="J19" s="152"/>
      <c r="K19" s="152"/>
    </row>
    <row r="20" spans="1:11" x14ac:dyDescent="0.25">
      <c r="A20" s="146" t="s">
        <v>252</v>
      </c>
      <c r="B20" s="148">
        <v>13.87</v>
      </c>
      <c r="C20" s="148">
        <v>10.45</v>
      </c>
      <c r="D20" s="148">
        <v>10.95</v>
      </c>
      <c r="E20" s="148">
        <v>11.49</v>
      </c>
      <c r="F20" s="148">
        <v>8.26</v>
      </c>
      <c r="G20" s="148">
        <v>7.61</v>
      </c>
      <c r="H20" s="148">
        <v>12.03</v>
      </c>
      <c r="I20" s="148">
        <v>14.1</v>
      </c>
      <c r="J20" s="148">
        <v>13.15</v>
      </c>
      <c r="K20" s="148">
        <v>13.72</v>
      </c>
    </row>
    <row r="21" spans="1:11" x14ac:dyDescent="0.25">
      <c r="A21" s="146" t="s">
        <v>253</v>
      </c>
      <c r="B21" s="148">
        <v>332.2</v>
      </c>
      <c r="C21" s="148">
        <v>446.07</v>
      </c>
      <c r="D21" s="148">
        <v>535.04999999999995</v>
      </c>
      <c r="E21" s="148">
        <v>605.59</v>
      </c>
      <c r="F21" s="148">
        <v>784.24</v>
      </c>
      <c r="G21" s="148">
        <v>1039.71</v>
      </c>
      <c r="H21" s="148">
        <v>1467.87</v>
      </c>
      <c r="I21" s="148">
        <v>1793</v>
      </c>
      <c r="J21" s="148">
        <v>2578.77</v>
      </c>
      <c r="K21" s="148">
        <v>3305.96</v>
      </c>
    </row>
    <row r="22" spans="1:11" x14ac:dyDescent="0.25">
      <c r="A22" s="146" t="s">
        <v>254</v>
      </c>
      <c r="B22" s="148">
        <v>1766.31</v>
      </c>
      <c r="C22" s="148">
        <v>1833.01</v>
      </c>
      <c r="D22" s="148">
        <v>1926.9</v>
      </c>
      <c r="E22" s="148">
        <v>2157.7800000000002</v>
      </c>
      <c r="F22" s="148">
        <v>2517.31</v>
      </c>
      <c r="G22" s="148">
        <v>3462.14</v>
      </c>
      <c r="H22" s="148">
        <v>4973.17</v>
      </c>
      <c r="I22" s="148">
        <v>5965.2</v>
      </c>
      <c r="J22" s="148">
        <v>6878.19</v>
      </c>
      <c r="K22" s="148">
        <v>7955.59</v>
      </c>
    </row>
    <row r="23" spans="1:11" x14ac:dyDescent="0.25">
      <c r="A23" s="146" t="s">
        <v>255</v>
      </c>
      <c r="B23" s="148">
        <v>254.56</v>
      </c>
      <c r="C23" s="148">
        <v>238.89</v>
      </c>
      <c r="D23" s="148">
        <v>261.3</v>
      </c>
      <c r="E23" s="148">
        <v>215.02</v>
      </c>
      <c r="F23" s="148">
        <v>134.69999999999999</v>
      </c>
      <c r="G23" s="148">
        <v>180.64</v>
      </c>
      <c r="H23" s="148">
        <v>300.58</v>
      </c>
      <c r="I23" s="148">
        <v>335.83</v>
      </c>
      <c r="J23" s="148">
        <v>422.89</v>
      </c>
      <c r="K23" s="148">
        <v>527.33000000000004</v>
      </c>
    </row>
    <row r="24" spans="1:11" x14ac:dyDescent="0.25">
      <c r="A24" s="146" t="s">
        <v>256</v>
      </c>
      <c r="B24" s="148">
        <v>46.16</v>
      </c>
      <c r="C24" s="148">
        <v>36.549999999999997</v>
      </c>
      <c r="D24" s="148">
        <v>75.5</v>
      </c>
      <c r="E24" s="148">
        <v>83.09</v>
      </c>
      <c r="F24" s="148">
        <v>60.37</v>
      </c>
      <c r="G24" s="148">
        <v>62.48</v>
      </c>
      <c r="H24" s="148">
        <v>77.819999999999993</v>
      </c>
      <c r="I24" s="148">
        <v>37.770000000000003</v>
      </c>
      <c r="J24" s="148">
        <v>-12.48</v>
      </c>
      <c r="K24" s="148">
        <v>149.97999999999999</v>
      </c>
    </row>
    <row r="25" spans="1:11" x14ac:dyDescent="0.25">
      <c r="A25" s="146" t="s">
        <v>257</v>
      </c>
      <c r="B25" s="148">
        <v>84.44</v>
      </c>
      <c r="C25" s="148">
        <v>119.1</v>
      </c>
      <c r="D25" s="148">
        <v>87.66</v>
      </c>
      <c r="E25" s="148">
        <v>131.79</v>
      </c>
      <c r="F25" s="148">
        <v>107.77</v>
      </c>
      <c r="G25" s="148">
        <v>143.96</v>
      </c>
      <c r="H25" s="148">
        <v>40.97</v>
      </c>
      <c r="I25" s="148">
        <v>128.02000000000001</v>
      </c>
      <c r="J25" s="148">
        <v>138.15</v>
      </c>
      <c r="K25" s="148">
        <v>90.97</v>
      </c>
    </row>
    <row r="26" spans="1:11" x14ac:dyDescent="0.25">
      <c r="A26" s="146" t="s">
        <v>258</v>
      </c>
      <c r="B26" s="148">
        <v>149.02000000000001</v>
      </c>
      <c r="C26" s="148">
        <v>158.49</v>
      </c>
      <c r="D26" s="148">
        <v>157.25</v>
      </c>
      <c r="E26" s="148">
        <v>165.96</v>
      </c>
      <c r="F26" s="148">
        <v>175.55</v>
      </c>
      <c r="G26" s="148">
        <v>166.01</v>
      </c>
      <c r="H26" s="148">
        <v>271.89999999999998</v>
      </c>
      <c r="I26" s="148">
        <v>309.37</v>
      </c>
      <c r="J26" s="148">
        <v>306.91000000000003</v>
      </c>
      <c r="K26" s="148">
        <v>402.95</v>
      </c>
    </row>
    <row r="27" spans="1:11" ht="14.25" customHeight="1" x14ac:dyDescent="0.3">
      <c r="A27" s="146" t="s">
        <v>259</v>
      </c>
      <c r="B27" s="148">
        <v>0.09</v>
      </c>
      <c r="C27" s="148">
        <v>0.08</v>
      </c>
      <c r="D27" s="148">
        <v>0.31</v>
      </c>
      <c r="E27" s="148">
        <v>6.33</v>
      </c>
      <c r="F27" s="148">
        <v>5.79</v>
      </c>
      <c r="G27" s="148">
        <v>11.84</v>
      </c>
      <c r="H27" s="148">
        <v>47.34</v>
      </c>
      <c r="I27" s="148">
        <v>46.73</v>
      </c>
      <c r="J27" s="152">
        <v>67.13</v>
      </c>
      <c r="K27" s="152">
        <v>72.680000000000007</v>
      </c>
    </row>
    <row r="28" spans="1:11" x14ac:dyDescent="0.25">
      <c r="A28" s="146" t="s">
        <v>260</v>
      </c>
      <c r="B28" s="148">
        <v>400.67</v>
      </c>
      <c r="C28" s="148">
        <v>429.26</v>
      </c>
      <c r="D28" s="148">
        <v>486.34</v>
      </c>
      <c r="E28" s="148">
        <v>452.34</v>
      </c>
      <c r="F28" s="148">
        <v>609.44000000000005</v>
      </c>
      <c r="G28" s="148">
        <v>924.28</v>
      </c>
      <c r="H28" s="148">
        <v>1240.8499999999999</v>
      </c>
      <c r="I28" s="148">
        <v>1447.61</v>
      </c>
      <c r="J28" s="148">
        <v>1822.31</v>
      </c>
      <c r="K28" s="148">
        <v>2411.21</v>
      </c>
    </row>
    <row r="29" spans="1:11" x14ac:dyDescent="0.25">
      <c r="A29" s="146" t="s">
        <v>261</v>
      </c>
      <c r="B29" s="148">
        <v>99.21</v>
      </c>
      <c r="C29" s="148">
        <v>106.17</v>
      </c>
      <c r="D29" s="148">
        <v>134.66</v>
      </c>
      <c r="E29" s="148">
        <v>112.06</v>
      </c>
      <c r="F29" s="148">
        <v>158.77000000000001</v>
      </c>
      <c r="G29" s="148">
        <v>233.89</v>
      </c>
      <c r="H29" s="148">
        <v>319.76</v>
      </c>
      <c r="I29" s="148">
        <v>354.11</v>
      </c>
      <c r="J29" s="148">
        <v>422.15</v>
      </c>
      <c r="K29" s="148">
        <v>546.1</v>
      </c>
    </row>
    <row r="30" spans="1:11" x14ac:dyDescent="0.25">
      <c r="A30" s="146" t="s">
        <v>262</v>
      </c>
      <c r="B30" s="148">
        <v>301.47000000000003</v>
      </c>
      <c r="C30" s="148">
        <v>323.08999999999997</v>
      </c>
      <c r="D30" s="148">
        <v>351.68</v>
      </c>
      <c r="E30" s="148">
        <v>340.29</v>
      </c>
      <c r="F30" s="148">
        <v>450.68</v>
      </c>
      <c r="G30" s="148">
        <v>690.39</v>
      </c>
      <c r="H30" s="148">
        <v>921.09</v>
      </c>
      <c r="I30" s="148">
        <v>1093.49</v>
      </c>
      <c r="J30" s="148">
        <v>1400.16</v>
      </c>
      <c r="K30" s="148">
        <v>1865.12</v>
      </c>
    </row>
    <row r="31" spans="1:11" x14ac:dyDescent="0.25">
      <c r="A31" s="146" t="s">
        <v>263</v>
      </c>
      <c r="B31" s="148">
        <v>72</v>
      </c>
      <c r="C31" s="148">
        <v>80</v>
      </c>
      <c r="D31" s="148">
        <v>87.03</v>
      </c>
      <c r="E31" s="148">
        <v>91.72</v>
      </c>
      <c r="F31" s="148">
        <v>152.86000000000001</v>
      </c>
      <c r="G31" s="148">
        <v>236.93</v>
      </c>
      <c r="H31" s="148">
        <v>382.15</v>
      </c>
      <c r="I31" s="148">
        <v>400.56</v>
      </c>
      <c r="J31" s="148">
        <v>545.51</v>
      </c>
      <c r="K31" s="148">
        <v>631.04</v>
      </c>
    </row>
    <row r="32" spans="1:11" x14ac:dyDescent="0.25">
      <c r="A32" s="146" t="s">
        <v>264</v>
      </c>
      <c r="B32" s="153">
        <f t="shared" ref="B32:K32" si="0">B29/B28</f>
        <v>0.24761025282651555</v>
      </c>
      <c r="C32" s="153">
        <f t="shared" si="0"/>
        <v>0.24733261892559288</v>
      </c>
      <c r="D32" s="153">
        <f t="shared" si="0"/>
        <v>0.27688448410576966</v>
      </c>
      <c r="E32" s="153">
        <f t="shared" si="0"/>
        <v>0.24773400539417254</v>
      </c>
      <c r="F32" s="153">
        <f t="shared" si="0"/>
        <v>0.26051785245471254</v>
      </c>
      <c r="G32" s="153">
        <f t="shared" si="0"/>
        <v>0.25305102349937247</v>
      </c>
      <c r="H32" s="153">
        <f t="shared" si="0"/>
        <v>0.25769432244026275</v>
      </c>
      <c r="I32" s="153">
        <f t="shared" si="0"/>
        <v>0.24461698938249946</v>
      </c>
      <c r="J32" s="153">
        <f t="shared" si="0"/>
        <v>0.23165652386257002</v>
      </c>
      <c r="K32" s="153">
        <f t="shared" si="0"/>
        <v>0.22648379859074905</v>
      </c>
    </row>
    <row r="34" spans="1:11" x14ac:dyDescent="0.25">
      <c r="A34" s="146" t="s">
        <v>106</v>
      </c>
      <c r="B34" s="146">
        <f t="shared" ref="B34:K34" si="1">+B30+B29+B27+B26</f>
        <v>549.79</v>
      </c>
      <c r="C34" s="146">
        <f t="shared" si="1"/>
        <v>587.82999999999993</v>
      </c>
      <c r="D34" s="146">
        <f t="shared" si="1"/>
        <v>643.90000000000009</v>
      </c>
      <c r="E34" s="146">
        <f t="shared" si="1"/>
        <v>624.64</v>
      </c>
      <c r="F34" s="146">
        <f t="shared" si="1"/>
        <v>790.79</v>
      </c>
      <c r="G34" s="146">
        <f t="shared" si="1"/>
        <v>1102.1300000000001</v>
      </c>
      <c r="H34" s="146">
        <f t="shared" si="1"/>
        <v>1560.0899999999997</v>
      </c>
      <c r="I34" s="146">
        <f t="shared" si="1"/>
        <v>1803.6999999999998</v>
      </c>
      <c r="J34" s="146">
        <f t="shared" si="1"/>
        <v>2196.35</v>
      </c>
      <c r="K34" s="146">
        <f t="shared" si="1"/>
        <v>2886.8499999999995</v>
      </c>
    </row>
    <row r="40" spans="1:11" x14ac:dyDescent="0.25">
      <c r="A40" s="147" t="s">
        <v>265</v>
      </c>
    </row>
    <row r="41" spans="1:11" s="151" customFormat="1" x14ac:dyDescent="0.25">
      <c r="A41" s="149" t="s">
        <v>248</v>
      </c>
      <c r="B41" s="150">
        <v>45382</v>
      </c>
      <c r="C41" s="150">
        <v>45473</v>
      </c>
      <c r="D41" s="150">
        <v>45565</v>
      </c>
      <c r="E41" s="150">
        <v>45657</v>
      </c>
      <c r="F41" s="150">
        <v>45747</v>
      </c>
      <c r="G41" s="150">
        <v>45838</v>
      </c>
      <c r="H41" s="150">
        <v>45930</v>
      </c>
      <c r="I41" s="150">
        <v>46022</v>
      </c>
      <c r="J41" s="150">
        <v>46112</v>
      </c>
      <c r="K41" s="150">
        <v>46203</v>
      </c>
    </row>
    <row r="42" spans="1:11" x14ac:dyDescent="0.25">
      <c r="A42" s="146" t="s">
        <v>249</v>
      </c>
      <c r="B42" s="148">
        <v>2590.5300000000002</v>
      </c>
      <c r="C42" s="148">
        <v>2737.17</v>
      </c>
      <c r="D42" s="148">
        <v>2897.15</v>
      </c>
      <c r="E42" s="148">
        <v>3062.28</v>
      </c>
      <c r="F42" s="148">
        <v>3242.11</v>
      </c>
      <c r="G42" s="148">
        <v>3333.59</v>
      </c>
      <c r="H42" s="148">
        <v>3580.72</v>
      </c>
      <c r="I42" s="148">
        <v>3778.21</v>
      </c>
      <c r="J42" s="148">
        <v>4055.94</v>
      </c>
      <c r="K42" s="148">
        <v>4303.2299999999996</v>
      </c>
    </row>
    <row r="43" spans="1:11" x14ac:dyDescent="0.25">
      <c r="A43" s="146" t="s">
        <v>266</v>
      </c>
      <c r="B43" s="148">
        <v>2136.16</v>
      </c>
      <c r="C43" s="148">
        <v>2281.96</v>
      </c>
      <c r="D43" s="148">
        <v>2416.42</v>
      </c>
      <c r="E43" s="148">
        <v>2524.44</v>
      </c>
      <c r="F43" s="148">
        <v>2657.7</v>
      </c>
      <c r="G43" s="148">
        <v>2722</v>
      </c>
      <c r="H43" s="148">
        <v>2897.64</v>
      </c>
      <c r="I43" s="148">
        <v>3045.15</v>
      </c>
      <c r="J43" s="148">
        <v>3288.23</v>
      </c>
      <c r="K43" s="148">
        <v>3606.34</v>
      </c>
    </row>
    <row r="44" spans="1:11" x14ac:dyDescent="0.25">
      <c r="A44" s="146" t="s">
        <v>257</v>
      </c>
      <c r="B44" s="148">
        <v>30.78</v>
      </c>
      <c r="C44" s="148">
        <v>30.64</v>
      </c>
      <c r="D44" s="148">
        <v>46.52</v>
      </c>
      <c r="E44" s="148">
        <v>42.63</v>
      </c>
      <c r="F44" s="148">
        <v>18.36</v>
      </c>
      <c r="G44" s="148">
        <v>54.66</v>
      </c>
      <c r="H44" s="148">
        <v>51.78</v>
      </c>
      <c r="I44" s="148">
        <v>-48.53</v>
      </c>
      <c r="J44" s="148">
        <v>33.49</v>
      </c>
      <c r="K44" s="148">
        <v>70.64</v>
      </c>
    </row>
    <row r="45" spans="1:11" x14ac:dyDescent="0.25">
      <c r="A45" s="146" t="s">
        <v>258</v>
      </c>
      <c r="B45" s="148">
        <v>79.92</v>
      </c>
      <c r="C45" s="148">
        <v>71.2</v>
      </c>
      <c r="D45" s="148">
        <v>74.5</v>
      </c>
      <c r="E45" s="148">
        <v>82.12</v>
      </c>
      <c r="F45" s="148">
        <v>79.099999999999994</v>
      </c>
      <c r="G45" s="148">
        <v>93.78</v>
      </c>
      <c r="H45" s="148">
        <v>100.05</v>
      </c>
      <c r="I45" s="148">
        <v>100.58</v>
      </c>
      <c r="J45" s="148">
        <v>108.54</v>
      </c>
      <c r="K45" s="148">
        <v>115.29</v>
      </c>
    </row>
    <row r="46" spans="1:11" ht="14.25" customHeight="1" x14ac:dyDescent="0.3">
      <c r="A46" s="146" t="s">
        <v>259</v>
      </c>
      <c r="B46" s="152">
        <v>9.74</v>
      </c>
      <c r="C46" s="152">
        <v>14.11</v>
      </c>
      <c r="D46" s="152">
        <v>18.23</v>
      </c>
      <c r="E46" s="152">
        <v>16.32</v>
      </c>
      <c r="F46" s="152">
        <v>18.46</v>
      </c>
      <c r="G46" s="152">
        <v>17.059999999999999</v>
      </c>
      <c r="H46" s="152">
        <v>17.98</v>
      </c>
      <c r="I46" s="152">
        <v>18.96</v>
      </c>
      <c r="J46" s="152">
        <v>18.68</v>
      </c>
      <c r="K46" s="152">
        <v>29.14</v>
      </c>
    </row>
    <row r="47" spans="1:11" x14ac:dyDescent="0.25">
      <c r="A47" s="146" t="s">
        <v>260</v>
      </c>
      <c r="B47" s="148">
        <v>395.49</v>
      </c>
      <c r="C47" s="148">
        <v>400.54</v>
      </c>
      <c r="D47" s="148">
        <v>434.52</v>
      </c>
      <c r="E47" s="148">
        <v>482.03</v>
      </c>
      <c r="F47" s="148">
        <v>505.21</v>
      </c>
      <c r="G47" s="148">
        <v>555.41</v>
      </c>
      <c r="H47" s="148">
        <v>616.83000000000004</v>
      </c>
      <c r="I47" s="148">
        <v>564.99</v>
      </c>
      <c r="J47" s="148">
        <v>673.98</v>
      </c>
      <c r="K47" s="148">
        <v>623.1</v>
      </c>
    </row>
    <row r="48" spans="1:11" x14ac:dyDescent="0.25">
      <c r="A48" s="146" t="s">
        <v>261</v>
      </c>
      <c r="B48" s="148">
        <v>80.17</v>
      </c>
      <c r="C48" s="148">
        <v>94.13</v>
      </c>
      <c r="D48" s="148">
        <v>109.52</v>
      </c>
      <c r="E48" s="148">
        <v>109.05</v>
      </c>
      <c r="F48" s="148">
        <v>109.44</v>
      </c>
      <c r="G48" s="148">
        <v>130.47</v>
      </c>
      <c r="H48" s="148">
        <v>145.36000000000001</v>
      </c>
      <c r="I48" s="148">
        <v>125.54</v>
      </c>
      <c r="J48" s="148">
        <v>144.72</v>
      </c>
      <c r="K48" s="148">
        <v>140.06</v>
      </c>
    </row>
    <row r="49" spans="1:11" x14ac:dyDescent="0.25">
      <c r="A49" s="146" t="s">
        <v>262</v>
      </c>
      <c r="B49" s="148">
        <v>315.32</v>
      </c>
      <c r="C49" s="148">
        <v>306.42</v>
      </c>
      <c r="D49" s="148">
        <v>325</v>
      </c>
      <c r="E49" s="148">
        <v>372.99</v>
      </c>
      <c r="F49" s="148">
        <v>395.76</v>
      </c>
      <c r="G49" s="148">
        <v>424.94</v>
      </c>
      <c r="H49" s="148">
        <v>471.47</v>
      </c>
      <c r="I49" s="148">
        <v>439.45</v>
      </c>
      <c r="J49" s="148">
        <v>529.26</v>
      </c>
      <c r="K49" s="148">
        <v>483.04</v>
      </c>
    </row>
    <row r="50" spans="1:11" x14ac:dyDescent="0.25">
      <c r="A50" s="146" t="s">
        <v>267</v>
      </c>
      <c r="B50" s="148">
        <v>454.37</v>
      </c>
      <c r="C50" s="148">
        <v>455.21</v>
      </c>
      <c r="D50" s="148">
        <v>480.73</v>
      </c>
      <c r="E50" s="148">
        <v>537.84</v>
      </c>
      <c r="F50" s="148">
        <v>584.41</v>
      </c>
      <c r="G50" s="148">
        <v>611.59</v>
      </c>
      <c r="H50" s="148">
        <v>683.08</v>
      </c>
      <c r="I50" s="148">
        <v>733.06</v>
      </c>
      <c r="J50" s="148">
        <v>767.71</v>
      </c>
      <c r="K50" s="148">
        <v>696.89</v>
      </c>
    </row>
    <row r="51" spans="1:11" x14ac:dyDescent="0.25">
      <c r="A51" s="146" t="s">
        <v>106</v>
      </c>
      <c r="B51" s="146">
        <f t="shared" ref="B51:K51" si="2">B49+B48+B46+B45</f>
        <v>485.15000000000003</v>
      </c>
      <c r="C51" s="146">
        <f t="shared" si="2"/>
        <v>485.86</v>
      </c>
      <c r="D51" s="146">
        <f t="shared" si="2"/>
        <v>527.25</v>
      </c>
      <c r="E51" s="146">
        <f t="shared" si="2"/>
        <v>580.48</v>
      </c>
      <c r="F51" s="146">
        <f t="shared" si="2"/>
        <v>602.76</v>
      </c>
      <c r="G51" s="146">
        <f t="shared" si="2"/>
        <v>666.24999999999989</v>
      </c>
      <c r="H51" s="146">
        <f t="shared" si="2"/>
        <v>734.86</v>
      </c>
      <c r="I51" s="146">
        <f t="shared" si="2"/>
        <v>684.53000000000009</v>
      </c>
      <c r="J51" s="146">
        <f t="shared" si="2"/>
        <v>801.19999999999993</v>
      </c>
      <c r="K51" s="146">
        <f t="shared" si="2"/>
        <v>767.53</v>
      </c>
    </row>
    <row r="55" spans="1:11" x14ac:dyDescent="0.25">
      <c r="A55" s="147" t="s">
        <v>268</v>
      </c>
    </row>
    <row r="56" spans="1:11" s="151" customFormat="1" x14ac:dyDescent="0.25">
      <c r="A56" s="149" t="s">
        <v>248</v>
      </c>
      <c r="B56" s="150">
        <v>42825</v>
      </c>
      <c r="C56" s="150">
        <v>43190</v>
      </c>
      <c r="D56" s="150">
        <v>43555</v>
      </c>
      <c r="E56" s="150">
        <v>43921</v>
      </c>
      <c r="F56" s="150">
        <v>44286</v>
      </c>
      <c r="G56" s="150">
        <v>44651</v>
      </c>
      <c r="H56" s="150">
        <v>45016</v>
      </c>
      <c r="I56" s="150">
        <v>45382</v>
      </c>
      <c r="J56" s="150">
        <v>45747</v>
      </c>
      <c r="K56" s="150">
        <v>46112</v>
      </c>
    </row>
    <row r="57" spans="1:11" x14ac:dyDescent="0.25">
      <c r="A57" s="146" t="s">
        <v>269</v>
      </c>
      <c r="B57" s="148">
        <v>80</v>
      </c>
      <c r="C57" s="148">
        <v>80</v>
      </c>
      <c r="D57" s="148">
        <v>79.12</v>
      </c>
      <c r="E57" s="148">
        <v>76.430000000000007</v>
      </c>
      <c r="F57" s="148">
        <v>76.430000000000007</v>
      </c>
      <c r="G57" s="148">
        <v>76.430000000000007</v>
      </c>
      <c r="H57" s="148">
        <v>76.430000000000007</v>
      </c>
      <c r="I57" s="148">
        <v>77.03</v>
      </c>
      <c r="J57" s="148">
        <v>77.930000000000007</v>
      </c>
      <c r="K57" s="148">
        <v>78.88</v>
      </c>
    </row>
    <row r="58" spans="1:11" x14ac:dyDescent="0.25">
      <c r="A58" s="146" t="s">
        <v>145</v>
      </c>
      <c r="B58" s="148">
        <v>1819.26</v>
      </c>
      <c r="C58" s="148">
        <v>2047.2</v>
      </c>
      <c r="D58" s="148">
        <v>2265.56</v>
      </c>
      <c r="E58" s="148">
        <v>2309.33</v>
      </c>
      <c r="F58" s="148">
        <v>2719.24</v>
      </c>
      <c r="G58" s="148">
        <v>3291.8</v>
      </c>
      <c r="H58" s="148">
        <v>3888.65</v>
      </c>
      <c r="I58" s="148">
        <v>4880.68</v>
      </c>
      <c r="J58" s="148">
        <v>6241.14</v>
      </c>
      <c r="K58" s="148">
        <v>7758.98</v>
      </c>
    </row>
    <row r="59" spans="1:11" ht="14.25" customHeight="1" x14ac:dyDescent="0.3">
      <c r="A59" s="146" t="s">
        <v>270</v>
      </c>
      <c r="B59" s="152">
        <v>2.72</v>
      </c>
      <c r="C59" s="152">
        <v>2.19</v>
      </c>
      <c r="D59" s="152">
        <v>1.67</v>
      </c>
      <c r="E59" s="152">
        <v>71.37</v>
      </c>
      <c r="F59" s="152">
        <v>98.44</v>
      </c>
      <c r="G59" s="152">
        <v>578.22</v>
      </c>
      <c r="H59" s="152">
        <v>655.37</v>
      </c>
      <c r="I59" s="152">
        <v>451.13</v>
      </c>
      <c r="J59" s="152">
        <v>310.89999999999998</v>
      </c>
      <c r="K59" s="152">
        <v>477.45</v>
      </c>
    </row>
    <row r="60" spans="1:11" x14ac:dyDescent="0.25">
      <c r="A60" s="146" t="s">
        <v>271</v>
      </c>
      <c r="B60" s="148">
        <v>433.33</v>
      </c>
      <c r="C60" s="148">
        <v>514.38</v>
      </c>
      <c r="D60" s="148">
        <v>509.25</v>
      </c>
      <c r="E60" s="148">
        <v>635.03</v>
      </c>
      <c r="F60" s="148">
        <v>771.42</v>
      </c>
      <c r="G60" s="148">
        <v>1472.65</v>
      </c>
      <c r="H60" s="148">
        <v>1998.7</v>
      </c>
      <c r="I60" s="148">
        <v>1996.61</v>
      </c>
      <c r="J60" s="148">
        <v>2091.58</v>
      </c>
      <c r="K60" s="148">
        <v>3028.61</v>
      </c>
    </row>
    <row r="61" spans="1:11" s="147" customFormat="1" x14ac:dyDescent="0.25">
      <c r="A61" s="147" t="s">
        <v>272</v>
      </c>
      <c r="B61" s="148">
        <v>2335.31</v>
      </c>
      <c r="C61" s="148">
        <v>2643.77</v>
      </c>
      <c r="D61" s="148">
        <v>2855.6</v>
      </c>
      <c r="E61" s="148">
        <v>3092.16</v>
      </c>
      <c r="F61" s="148">
        <v>3665.53</v>
      </c>
      <c r="G61" s="148">
        <v>5419.1</v>
      </c>
      <c r="H61" s="148">
        <v>6619.15</v>
      </c>
      <c r="I61" s="148">
        <v>7405.45</v>
      </c>
      <c r="J61" s="148">
        <v>8721.5499999999993</v>
      </c>
      <c r="K61" s="148">
        <v>11343.92</v>
      </c>
    </row>
    <row r="62" spans="1:11" x14ac:dyDescent="0.25">
      <c r="A62" s="146" t="s">
        <v>273</v>
      </c>
      <c r="B62" s="148">
        <v>535.96</v>
      </c>
      <c r="C62" s="148">
        <v>512.15</v>
      </c>
      <c r="D62" s="148">
        <v>400.79</v>
      </c>
      <c r="E62" s="148">
        <v>431.53</v>
      </c>
      <c r="F62" s="148">
        <v>456.94</v>
      </c>
      <c r="G62" s="148">
        <v>1533.57</v>
      </c>
      <c r="H62" s="148">
        <v>2341.33</v>
      </c>
      <c r="I62" s="148">
        <v>2221.4699999999998</v>
      </c>
      <c r="J62" s="148">
        <v>2541.08</v>
      </c>
      <c r="K62" s="148">
        <v>2855.98</v>
      </c>
    </row>
    <row r="63" spans="1:11" x14ac:dyDescent="0.25">
      <c r="A63" s="146" t="s">
        <v>274</v>
      </c>
      <c r="B63" s="148">
        <v>28.96</v>
      </c>
      <c r="C63" s="148">
        <v>5.24</v>
      </c>
      <c r="D63" s="148">
        <v>31.56</v>
      </c>
      <c r="E63" s="148">
        <v>30.34</v>
      </c>
      <c r="F63" s="148">
        <v>12.18</v>
      </c>
      <c r="G63" s="148">
        <v>107.12</v>
      </c>
      <c r="H63" s="148">
        <v>16.14</v>
      </c>
      <c r="I63" s="148">
        <v>33.53</v>
      </c>
      <c r="J63" s="148">
        <v>77.36</v>
      </c>
      <c r="K63" s="148">
        <v>37.58</v>
      </c>
    </row>
    <row r="64" spans="1:11" ht="14.25" customHeight="1" x14ac:dyDescent="0.3">
      <c r="A64" s="146" t="s">
        <v>167</v>
      </c>
      <c r="B64" s="148">
        <v>683.91</v>
      </c>
      <c r="C64" s="152">
        <v>879.74</v>
      </c>
      <c r="D64" s="148">
        <v>764.12</v>
      </c>
      <c r="E64" s="148">
        <v>978.57</v>
      </c>
      <c r="F64" s="148">
        <v>999.62</v>
      </c>
      <c r="G64" s="148">
        <v>822.46</v>
      </c>
      <c r="H64" s="148">
        <v>639.57000000000005</v>
      </c>
      <c r="I64" s="148">
        <v>826.57</v>
      </c>
      <c r="J64" s="148">
        <v>980.32</v>
      </c>
      <c r="K64" s="148">
        <v>1614.77</v>
      </c>
    </row>
    <row r="65" spans="1:11" x14ac:dyDescent="0.25">
      <c r="A65" s="146" t="s">
        <v>275</v>
      </c>
      <c r="B65" s="148">
        <v>1086.48</v>
      </c>
      <c r="C65" s="148">
        <v>1246.6400000000001</v>
      </c>
      <c r="D65" s="148">
        <v>1659.13</v>
      </c>
      <c r="E65" s="148">
        <v>1651.72</v>
      </c>
      <c r="F65" s="148">
        <v>2196.79</v>
      </c>
      <c r="G65" s="148">
        <v>2955.95</v>
      </c>
      <c r="H65" s="148">
        <v>3622.11</v>
      </c>
      <c r="I65" s="148">
        <v>4323.88</v>
      </c>
      <c r="J65" s="148">
        <v>5122.79</v>
      </c>
      <c r="K65" s="148">
        <v>6835.59</v>
      </c>
    </row>
    <row r="66" spans="1:11" s="147" customFormat="1" x14ac:dyDescent="0.25">
      <c r="A66" s="147" t="s">
        <v>272</v>
      </c>
      <c r="B66" s="148">
        <v>2335.31</v>
      </c>
      <c r="C66" s="148">
        <v>2643.77</v>
      </c>
      <c r="D66" s="148">
        <v>2855.6</v>
      </c>
      <c r="E66" s="148">
        <v>3092.16</v>
      </c>
      <c r="F66" s="148">
        <v>3665.53</v>
      </c>
      <c r="G66" s="148">
        <v>5419.1</v>
      </c>
      <c r="H66" s="148">
        <v>6619.15</v>
      </c>
      <c r="I66" s="148">
        <v>7405.45</v>
      </c>
      <c r="J66" s="148">
        <v>8721.5499999999993</v>
      </c>
      <c r="K66" s="148">
        <v>11343.92</v>
      </c>
    </row>
    <row r="67" spans="1:11" x14ac:dyDescent="0.25">
      <c r="A67" s="146" t="s">
        <v>178</v>
      </c>
      <c r="B67" s="148">
        <v>475.38</v>
      </c>
      <c r="C67" s="148">
        <v>484.74</v>
      </c>
      <c r="D67" s="148">
        <v>492.3</v>
      </c>
      <c r="E67" s="148">
        <v>592.20000000000005</v>
      </c>
      <c r="F67" s="148">
        <v>570.9</v>
      </c>
      <c r="G67" s="148">
        <v>948.43</v>
      </c>
      <c r="H67" s="148">
        <v>1570.46</v>
      </c>
      <c r="I67" s="148">
        <v>1676.11</v>
      </c>
      <c r="J67" s="148">
        <v>2679.17</v>
      </c>
      <c r="K67" s="148">
        <v>3334.39</v>
      </c>
    </row>
    <row r="68" spans="1:11" ht="14.25" customHeight="1" x14ac:dyDescent="0.3">
      <c r="A68" s="146" t="s">
        <v>179</v>
      </c>
      <c r="B68" s="152"/>
      <c r="C68" s="152"/>
      <c r="D68" s="152"/>
      <c r="E68" s="152"/>
      <c r="F68" s="152"/>
      <c r="G68" s="152"/>
      <c r="H68" s="152"/>
      <c r="I68" s="152"/>
      <c r="J68" s="152"/>
      <c r="K68" s="152"/>
    </row>
    <row r="69" spans="1:11" x14ac:dyDescent="0.25">
      <c r="A69" s="146" t="s">
        <v>276</v>
      </c>
      <c r="B69" s="148">
        <v>150.96</v>
      </c>
      <c r="C69" s="148">
        <v>241.4</v>
      </c>
      <c r="D69" s="148">
        <v>672.88</v>
      </c>
      <c r="E69" s="148">
        <v>457.22</v>
      </c>
      <c r="F69" s="148">
        <v>980.9</v>
      </c>
      <c r="G69" s="148">
        <v>914.46</v>
      </c>
      <c r="H69" s="148">
        <v>903.28</v>
      </c>
      <c r="I69" s="148">
        <v>1022.89</v>
      </c>
      <c r="J69" s="148">
        <v>1025.47</v>
      </c>
      <c r="K69" s="148">
        <v>1218.25</v>
      </c>
    </row>
    <row r="70" spans="1:11" x14ac:dyDescent="0.25">
      <c r="A70" s="146" t="s">
        <v>277</v>
      </c>
      <c r="B70" s="148">
        <v>80000000</v>
      </c>
      <c r="C70" s="148">
        <v>80000000</v>
      </c>
      <c r="D70" s="148">
        <v>79120000</v>
      </c>
      <c r="E70" s="148">
        <v>76430000</v>
      </c>
      <c r="F70" s="148">
        <v>76430000</v>
      </c>
      <c r="G70" s="148">
        <v>76430000</v>
      </c>
      <c r="H70" s="148">
        <v>76430000</v>
      </c>
      <c r="I70" s="148">
        <v>154050000</v>
      </c>
      <c r="J70" s="148">
        <v>155850000</v>
      </c>
      <c r="K70" s="148">
        <v>157750000</v>
      </c>
    </row>
    <row r="71" spans="1:11" ht="13.5" customHeight="1" x14ac:dyDescent="0.25">
      <c r="A71" s="146" t="s">
        <v>278</v>
      </c>
      <c r="B71" s="154"/>
      <c r="C71" s="154"/>
      <c r="G71" s="154"/>
      <c r="H71" s="154"/>
    </row>
    <row r="72" spans="1:11" x14ac:dyDescent="0.25">
      <c r="A72" s="146" t="s">
        <v>279</v>
      </c>
      <c r="B72" s="148">
        <v>10</v>
      </c>
      <c r="C72" s="148">
        <v>10</v>
      </c>
      <c r="D72" s="148">
        <v>10</v>
      </c>
      <c r="E72" s="148">
        <v>10</v>
      </c>
      <c r="F72" s="148">
        <v>10</v>
      </c>
      <c r="G72" s="148">
        <v>10</v>
      </c>
      <c r="H72" s="148">
        <v>10</v>
      </c>
      <c r="I72" s="148">
        <v>5</v>
      </c>
      <c r="J72" s="148">
        <v>5</v>
      </c>
      <c r="K72" s="148">
        <v>5</v>
      </c>
    </row>
    <row r="74" spans="1:11" x14ac:dyDescent="0.25">
      <c r="A74" s="146" t="s">
        <v>280</v>
      </c>
      <c r="B74" s="146">
        <f t="shared" ref="B74:K74" si="3">B65-SUM(B67:B69)</f>
        <v>460.14</v>
      </c>
      <c r="C74" s="146">
        <f t="shared" si="3"/>
        <v>520.50000000000011</v>
      </c>
      <c r="D74" s="146">
        <f t="shared" si="3"/>
        <v>493.95000000000005</v>
      </c>
      <c r="E74" s="146">
        <f t="shared" si="3"/>
        <v>602.29999999999995</v>
      </c>
      <c r="F74" s="146">
        <f t="shared" si="3"/>
        <v>644.99</v>
      </c>
      <c r="G74" s="146">
        <f t="shared" si="3"/>
        <v>1093.06</v>
      </c>
      <c r="H74" s="146">
        <f t="shared" si="3"/>
        <v>1148.3700000000003</v>
      </c>
      <c r="I74" s="146">
        <f t="shared" si="3"/>
        <v>1624.88</v>
      </c>
      <c r="J74" s="146">
        <f t="shared" si="3"/>
        <v>1418.1499999999996</v>
      </c>
      <c r="K74" s="146">
        <f t="shared" si="3"/>
        <v>2282.9500000000007</v>
      </c>
    </row>
    <row r="76" spans="1:11" x14ac:dyDescent="0.25">
      <c r="A76" s="146" t="s">
        <v>281</v>
      </c>
      <c r="B76" s="146">
        <f t="shared" ref="B76:K76" si="4">B66</f>
        <v>2335.31</v>
      </c>
      <c r="C76" s="146">
        <f t="shared" si="4"/>
        <v>2643.77</v>
      </c>
      <c r="D76" s="146">
        <f t="shared" si="4"/>
        <v>2855.6</v>
      </c>
      <c r="E76" s="146">
        <f t="shared" si="4"/>
        <v>3092.16</v>
      </c>
      <c r="F76" s="146">
        <f t="shared" si="4"/>
        <v>3665.53</v>
      </c>
      <c r="G76" s="146">
        <f t="shared" si="4"/>
        <v>5419.1</v>
      </c>
      <c r="H76" s="146">
        <f t="shared" si="4"/>
        <v>6619.15</v>
      </c>
      <c r="I76" s="146">
        <f t="shared" si="4"/>
        <v>7405.45</v>
      </c>
      <c r="J76" s="146">
        <f t="shared" si="4"/>
        <v>8721.5499999999993</v>
      </c>
      <c r="K76" s="146">
        <f t="shared" si="4"/>
        <v>11343.92</v>
      </c>
    </row>
    <row r="80" spans="1:11" x14ac:dyDescent="0.25">
      <c r="A80" s="147" t="s">
        <v>282</v>
      </c>
    </row>
    <row r="81" spans="1:12" s="151" customFormat="1" x14ac:dyDescent="0.25">
      <c r="A81" s="149" t="s">
        <v>248</v>
      </c>
      <c r="B81" s="150">
        <v>42825</v>
      </c>
      <c r="C81" s="150">
        <v>43190</v>
      </c>
      <c r="D81" s="150">
        <v>43555</v>
      </c>
      <c r="E81" s="150">
        <v>43921</v>
      </c>
      <c r="F81" s="150">
        <v>44286</v>
      </c>
      <c r="G81" s="150">
        <v>44651</v>
      </c>
      <c r="H81" s="150">
        <v>45016</v>
      </c>
      <c r="I81" s="150">
        <v>45382</v>
      </c>
      <c r="J81" s="150">
        <v>45747</v>
      </c>
      <c r="K81" s="150">
        <v>46112</v>
      </c>
      <c r="L81" s="150"/>
    </row>
    <row r="82" spans="1:12" s="147" customFormat="1" x14ac:dyDescent="0.25">
      <c r="A82" s="146" t="s">
        <v>283</v>
      </c>
      <c r="B82" s="148">
        <v>286.41000000000003</v>
      </c>
      <c r="C82" s="148">
        <v>421.19</v>
      </c>
      <c r="D82" s="148">
        <v>432.31</v>
      </c>
      <c r="E82" s="148">
        <v>351.59</v>
      </c>
      <c r="F82" s="148">
        <v>735.93</v>
      </c>
      <c r="G82" s="148">
        <v>844.99</v>
      </c>
      <c r="H82" s="148">
        <v>955.76</v>
      </c>
      <c r="I82" s="148">
        <v>1302.1099999999999</v>
      </c>
      <c r="J82" s="148">
        <v>1156.92</v>
      </c>
      <c r="K82" s="148">
        <v>1767.13</v>
      </c>
    </row>
    <row r="83" spans="1:12" x14ac:dyDescent="0.25">
      <c r="A83" s="146" t="s">
        <v>284</v>
      </c>
      <c r="B83" s="148">
        <v>-221.88</v>
      </c>
      <c r="C83" s="148">
        <v>-337.32</v>
      </c>
      <c r="D83" s="148">
        <v>-233.03</v>
      </c>
      <c r="E83" s="148">
        <v>-6.43</v>
      </c>
      <c r="F83" s="148">
        <v>-539.73</v>
      </c>
      <c r="G83" s="148">
        <v>-971.41</v>
      </c>
      <c r="H83" s="148">
        <v>-382.6</v>
      </c>
      <c r="I83" s="148">
        <v>-524.72</v>
      </c>
      <c r="J83" s="148">
        <v>-516.83000000000004</v>
      </c>
      <c r="K83" s="148">
        <v>-618.45000000000005</v>
      </c>
    </row>
    <row r="84" spans="1:12" x14ac:dyDescent="0.25">
      <c r="A84" s="146" t="s">
        <v>285</v>
      </c>
      <c r="B84" s="148">
        <v>-58.41</v>
      </c>
      <c r="C84" s="148">
        <v>-95.61</v>
      </c>
      <c r="D84" s="148">
        <v>-159.85</v>
      </c>
      <c r="E84" s="148">
        <v>-329.1</v>
      </c>
      <c r="F84" s="148">
        <v>-144.26</v>
      </c>
      <c r="G84" s="148">
        <v>182.29</v>
      </c>
      <c r="H84" s="148">
        <v>-403.95</v>
      </c>
      <c r="I84" s="148">
        <v>-581.88</v>
      </c>
      <c r="J84" s="148">
        <v>-628.20000000000005</v>
      </c>
      <c r="K84" s="148">
        <v>-748.18</v>
      </c>
    </row>
    <row r="85" spans="1:12" s="147" customFormat="1" x14ac:dyDescent="0.25">
      <c r="A85" s="146" t="s">
        <v>201</v>
      </c>
      <c r="B85" s="148">
        <v>6.12</v>
      </c>
      <c r="C85" s="148">
        <v>-11.75</v>
      </c>
      <c r="D85" s="148">
        <v>39.43</v>
      </c>
      <c r="E85" s="148">
        <v>16.05</v>
      </c>
      <c r="F85" s="148">
        <v>51.93</v>
      </c>
      <c r="G85" s="148">
        <v>55.87</v>
      </c>
      <c r="H85" s="148">
        <v>169.21</v>
      </c>
      <c r="I85" s="148">
        <v>195.5</v>
      </c>
      <c r="J85" s="148">
        <v>11.89</v>
      </c>
      <c r="K85" s="148">
        <v>400.51</v>
      </c>
    </row>
    <row r="90" spans="1:12" s="147" customFormat="1" x14ac:dyDescent="0.25">
      <c r="A90" s="147" t="s">
        <v>286</v>
      </c>
      <c r="B90" s="148">
        <v>297.85000000000002</v>
      </c>
      <c r="C90" s="148">
        <v>347.03</v>
      </c>
      <c r="D90" s="148">
        <v>314.77999999999997</v>
      </c>
      <c r="E90" s="148">
        <v>275.48</v>
      </c>
      <c r="F90" s="148">
        <v>961.03</v>
      </c>
      <c r="G90" s="148">
        <v>2382.65</v>
      </c>
      <c r="H90" s="148">
        <v>2304.75</v>
      </c>
      <c r="I90" s="148">
        <v>3984.55</v>
      </c>
      <c r="J90" s="148">
        <v>5513.75</v>
      </c>
      <c r="K90" s="148">
        <v>4877.2</v>
      </c>
    </row>
    <row r="92" spans="1:12" s="147" customFormat="1" x14ac:dyDescent="0.25">
      <c r="A92" s="147" t="s">
        <v>287</v>
      </c>
    </row>
    <row r="93" spans="1:12" x14ac:dyDescent="0.25">
      <c r="A93" s="146" t="s">
        <v>288</v>
      </c>
      <c r="B93" s="155">
        <v>16</v>
      </c>
      <c r="C93" s="155">
        <v>16</v>
      </c>
      <c r="D93" s="155">
        <v>16</v>
      </c>
      <c r="E93" s="155">
        <v>15.29</v>
      </c>
      <c r="F93" s="155">
        <v>15.29</v>
      </c>
      <c r="G93" s="155">
        <v>15.29</v>
      </c>
      <c r="H93" s="155">
        <v>15.29</v>
      </c>
      <c r="I93" s="155">
        <v>15.4</v>
      </c>
      <c r="J93" s="155">
        <v>15.46</v>
      </c>
      <c r="K93" s="155">
        <v>15.78</v>
      </c>
    </row>
  </sheetData>
  <mergeCells count="2">
    <mergeCell ref="E1:K1"/>
    <mergeCell ref="E2:K2"/>
  </mergeCells>
  <conditionalFormatting sqref="E1:K1">
    <cfRule type="cellIs" dxfId="0" priority="2" operator="notEqual">
      <formula>""</formula>
    </cfRule>
  </conditionalFormatting>
  <hyperlinks>
    <hyperlink ref="E1" r:id="rId1" display="https://www.screener.in/excel/" xr:uid="{00000000-0004-0000-0900-000000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DCF</vt:lpstr>
      <vt:lpstr>WACC</vt:lpstr>
      <vt:lpstr>Rm</vt:lpstr>
      <vt:lpstr>Intrisic Growth</vt:lpstr>
      <vt:lpstr>Relative Comps Valuation</vt:lpstr>
      <vt:lpstr>Football Field Analysis</vt:lpstr>
      <vt:lpstr>Raw Beta Peers</vt:lpstr>
      <vt:lpstr>Raw FS</vt:lpstr>
      <vt:lpstr>Raw comps data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Valuation School</dc:creator>
  <dc:description/>
  <cp:lastModifiedBy>LIG3</cp:lastModifiedBy>
  <cp:revision>2</cp:revision>
  <cp:lastPrinted>2026-08-24T09:38:38Z</cp:lastPrinted>
  <dcterms:created xsi:type="dcterms:W3CDTF">2023-02-06T14:53:36Z</dcterms:created>
  <dcterms:modified xsi:type="dcterms:W3CDTF">2026-08-28T12:08:08Z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{1EE99B22-FCBF-4602-91E6-C0830BFCF47D}</vt:lpwstr>
  </property>
</Properties>
</file>